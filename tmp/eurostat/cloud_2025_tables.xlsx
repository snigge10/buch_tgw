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02\ICT &amp; Digitalisation\2-Information Society\04-Dissemination\Publications\2026\Statistics Explained\ENT\2026 ENT Cloud computing\"/>
    </mc:Choice>
  </mc:AlternateContent>
  <xr:revisionPtr revIDLastSave="0" documentId="13_ncr:1_{8752ACB6-7984-4726-87B7-26C32795EA34}" xr6:coauthVersionLast="47" xr6:coauthVersionMax="47" xr10:uidLastSave="{00000000-0000-0000-0000-000000000000}"/>
  <bookViews>
    <workbookView xWindow="-108" yWindow="-108" windowWidth="23256" windowHeight="13896" tabRatio="680" xr2:uid="{00000000-000D-0000-FFFF-FFFF00000000}"/>
  </bookViews>
  <sheets>
    <sheet name="Fig1" sheetId="35" r:id="rId1"/>
    <sheet name="Tab1" sheetId="36" r:id="rId2"/>
    <sheet name="Fig2" sheetId="38" r:id="rId3"/>
    <sheet name="Fig3" sheetId="47" r:id="rId4"/>
    <sheet name="Fig4" sheetId="39" r:id="rId5"/>
    <sheet name="Fig5" sheetId="50" r:id="rId6"/>
    <sheet name="Fig6" sheetId="40" r:id="rId7"/>
    <sheet name="Fig7" sheetId="42" r:id="rId8"/>
    <sheet name="Fig8" sheetId="49" r:id="rId9"/>
  </sheets>
  <definedNames>
    <definedName name="_xlnm._FilterDatabase" localSheetId="4" hidden="1">'Fig4'!$A$35:$F$56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7" l="1"/>
  <c r="E8" i="47"/>
  <c r="E9" i="47"/>
  <c r="E10" i="47"/>
  <c r="E16" i="38"/>
  <c r="E15" i="38"/>
  <c r="E14" i="38"/>
  <c r="E13" i="38"/>
  <c r="E12" i="38"/>
  <c r="E11" i="38"/>
  <c r="E10" i="38"/>
  <c r="E9" i="38"/>
  <c r="E8" i="38"/>
  <c r="E7" i="38"/>
  <c r="E17" i="38"/>
</calcChain>
</file>

<file path=xl/sharedStrings.xml><?xml version="1.0" encoding="utf-8"?>
<sst xmlns="http://schemas.openxmlformats.org/spreadsheetml/2006/main" count="261" uniqueCount="133">
  <si>
    <t>Manufacturing</t>
  </si>
  <si>
    <t>Construction</t>
  </si>
  <si>
    <t>Wholesale and retail trade; repair of motor vehicles and motorcycles</t>
  </si>
  <si>
    <t>Administrative and support service activities</t>
  </si>
  <si>
    <t>E-mail</t>
  </si>
  <si>
    <t>Office software</t>
  </si>
  <si>
    <t>Storage of files</t>
  </si>
  <si>
    <t>Hosting the enterprise's database(s)</t>
  </si>
  <si>
    <t>Financial or accounting software applications</t>
  </si>
  <si>
    <t>CRM software applications</t>
  </si>
  <si>
    <t>Computing power for enterprise's own software</t>
  </si>
  <si>
    <t>% enterprises</t>
  </si>
  <si>
    <t>Belgium</t>
  </si>
  <si>
    <t>Bulgaria</t>
  </si>
  <si>
    <t>Malta</t>
  </si>
  <si>
    <t>Denmark</t>
  </si>
  <si>
    <t>Ireland</t>
  </si>
  <si>
    <t>Finland</t>
  </si>
  <si>
    <t>Lithuania</t>
  </si>
  <si>
    <t>Croatia</t>
  </si>
  <si>
    <t>Netherlands</t>
  </si>
  <si>
    <t>Greece</t>
  </si>
  <si>
    <t>Austria</t>
  </si>
  <si>
    <t>Germany</t>
  </si>
  <si>
    <t>Poland</t>
  </si>
  <si>
    <t>Slovakia</t>
  </si>
  <si>
    <t>Luxembourg</t>
  </si>
  <si>
    <t>Cyprus</t>
  </si>
  <si>
    <t>Estonia</t>
  </si>
  <si>
    <t>Latvia</t>
  </si>
  <si>
    <t>Spain</t>
  </si>
  <si>
    <t>Slovenia</t>
  </si>
  <si>
    <t>Hungary</t>
  </si>
  <si>
    <t>Italy</t>
  </si>
  <si>
    <t>Portugal</t>
  </si>
  <si>
    <t>Romania</t>
  </si>
  <si>
    <t>Norway</t>
  </si>
  <si>
    <t>Serbia</t>
  </si>
  <si>
    <t>E_CC</t>
  </si>
  <si>
    <t>Czechia</t>
  </si>
  <si>
    <t>E_CC_PCPU</t>
  </si>
  <si>
    <t>E_CC_PCRM</t>
  </si>
  <si>
    <t>E_CC_PDB</t>
  </si>
  <si>
    <t>E_CC_PEM</t>
  </si>
  <si>
    <t>E_CC_PFACC</t>
  </si>
  <si>
    <t>E_CC_PFIL</t>
  </si>
  <si>
    <t>E_CC_PSOFT</t>
  </si>
  <si>
    <t>10_G47</t>
  </si>
  <si>
    <t>Bosnia and Herzegovina</t>
  </si>
  <si>
    <t>(% of enterprises)</t>
  </si>
  <si>
    <t>All enterprises</t>
  </si>
  <si>
    <t>High level dependence</t>
  </si>
  <si>
    <t>E_CC_PSEC</t>
  </si>
  <si>
    <t>E_CC_PERP</t>
  </si>
  <si>
    <t>E_CC_PDEV</t>
  </si>
  <si>
    <t>Security software applications</t>
  </si>
  <si>
    <t>ERP software applications</t>
  </si>
  <si>
    <t>EU</t>
  </si>
  <si>
    <t>E_CC1_S</t>
  </si>
  <si>
    <t>Platform for application development, testing or deployment</t>
  </si>
  <si>
    <t>E_CC1_B</t>
  </si>
  <si>
    <t>E_CC1_I</t>
  </si>
  <si>
    <t>Basic CC services</t>
  </si>
  <si>
    <t>Intermediate CC services</t>
  </si>
  <si>
    <t>Sophisticated CC services</t>
  </si>
  <si>
    <t>E_CC1_IS_GE1</t>
  </si>
  <si>
    <t>E_CC1_PS</t>
  </si>
  <si>
    <t>E_CC1_SS_GE1</t>
  </si>
  <si>
    <t>Use of cloud Infrastructure as a Service (IaaS)</t>
  </si>
  <si>
    <r>
      <t>Source:</t>
    </r>
    <r>
      <rPr>
        <sz val="10"/>
        <color theme="1"/>
        <rFont val="Arial"/>
        <family val="2"/>
      </rPr>
      <t xml:space="preserve"> Eurostat (online data code: isoc_cicce_use)</t>
    </r>
  </si>
  <si>
    <t>Montenegro</t>
  </si>
  <si>
    <t>Small enterprises</t>
  </si>
  <si>
    <t>Medium enterprises</t>
  </si>
  <si>
    <t>Large enterprises</t>
  </si>
  <si>
    <t>C10T33</t>
  </si>
  <si>
    <t>F41T43</t>
  </si>
  <si>
    <t>G45T47</t>
  </si>
  <si>
    <t>H49T53</t>
  </si>
  <si>
    <t>I55</t>
  </si>
  <si>
    <t>J58T63</t>
  </si>
  <si>
    <t>M69T75</t>
  </si>
  <si>
    <t>N77T82</t>
  </si>
  <si>
    <t>D35TE39</t>
  </si>
  <si>
    <t>L68</t>
  </si>
  <si>
    <t>Basic CC services - all activities</t>
  </si>
  <si>
    <t>Intermediate CC services - all activities</t>
  </si>
  <si>
    <t>Sophisticated CC services - all activities</t>
  </si>
  <si>
    <r>
      <t>Source:</t>
    </r>
    <r>
      <rPr>
        <sz val="10"/>
        <rFont val="Arial"/>
        <family val="2"/>
      </rPr>
      <t xml:space="preserve"> Eurostat (online data code: isoc_cicce_usen2)</t>
    </r>
  </si>
  <si>
    <r>
      <t>Source:</t>
    </r>
    <r>
      <rPr>
        <sz val="10"/>
        <color theme="1"/>
        <rFont val="Arial"/>
        <family val="2"/>
      </rPr>
      <t xml:space="preserve"> Eurostat (online data code: isoc_cicce_usen2)</t>
    </r>
  </si>
  <si>
    <t>Türkiye</t>
  </si>
  <si>
    <t>Use of cloud Platform as a Service 
(PaaS)</t>
  </si>
  <si>
    <t>Use of cloud Software as a Service   
(SaaS)</t>
  </si>
  <si>
    <t>Buy cloud computing</t>
  </si>
  <si>
    <t>Real estate activities</t>
  </si>
  <si>
    <t>Professional, scientific and technical activities</t>
  </si>
  <si>
    <t>Information and communication</t>
  </si>
  <si>
    <t xml:space="preserve"> Type of cloud computing services</t>
  </si>
  <si>
    <t>Change 
2025 to 2023</t>
  </si>
  <si>
    <t>Sweden</t>
  </si>
  <si>
    <t>France</t>
  </si>
  <si>
    <t xml:space="preserve">Figure 3: Enterprises using paid cloud computing services by size class, EU, 2023 and 2025 </t>
  </si>
  <si>
    <t>Figure 1: Enterprises using paid cloud computing services, EU, 2023 and 2025</t>
  </si>
  <si>
    <t>Figure 8: Level of sophistication of purchased cloud computing services by size class, EU, 2025</t>
  </si>
  <si>
    <t>(% of enterprises using paid cloud services)</t>
  </si>
  <si>
    <t>Figure 6: Enterprises using paid cloud computing services and high level dependence on the cloud, 2025</t>
  </si>
  <si>
    <t>Figure 5: Types of cloud computing services purchased by service model and size class, EU, 2025</t>
  </si>
  <si>
    <t>Use paid CC services over the internet</t>
  </si>
  <si>
    <t>Figure 4: Enterprises using paid cloud computing services by type of cloud service, EU, 2023 and 2025</t>
  </si>
  <si>
    <t>Figure 7: Level of sophistication of purchased cloud computing services by economic activity, EU, 2025</t>
  </si>
  <si>
    <t>Electricity, gas, steam and air conditioning supply; water supply; sewerage, waste management and remediation activities</t>
  </si>
  <si>
    <t>Transportation and storage</t>
  </si>
  <si>
    <t>Accommodation and food service activities</t>
  </si>
  <si>
    <t>Figure 2: Enterprises using paid cloud computing services by economic activity, EU, 2023 and 2025</t>
  </si>
  <si>
    <t>Using paid CC services over the internet</t>
  </si>
  <si>
    <t>2023 - 
all activities</t>
  </si>
  <si>
    <t>2025 - 
all activities</t>
  </si>
  <si>
    <t>% of enterprises using paid cloud services</t>
  </si>
  <si>
    <t>(¹) Break in the time series for Platform for application development, testing or deployment .</t>
  </si>
  <si>
    <t>Table1: Cloud computing in enterprises, 2025</t>
  </si>
  <si>
    <t>Enterprises using paid cloud computing services</t>
  </si>
  <si>
    <t xml:space="preserve">Netherlands (¹) </t>
  </si>
  <si>
    <t>Bookmark</t>
  </si>
  <si>
    <t>https://ec.europa.eu/eurostat/databrowser/bookmark/751b6bd3-143b-4846-b0e7-25f52e185ed0?lang=en&amp;createdAt=2026-01-13T14:17:33Z</t>
  </si>
  <si>
    <t>isoc_cicce_use</t>
  </si>
  <si>
    <t>https://ec.europa.eu/eurostat/databrowser/bookmark/f45ff451-cc7b-44c1-87fc-ddee4b327351?lang=en&amp;createdAt=2026-01-13T14:19:30Z</t>
  </si>
  <si>
    <t>https://ec.europa.eu/eurostat/databrowser/bookmark/abfe2e01-c79f-4915-a405-ba050ad055da?lang=en&amp;createdAt=2026-01-13T14:21:43Z</t>
  </si>
  <si>
    <t>https://ec.europa.eu/eurostat/databrowser/bookmark/8f0c945a-9c9e-4578-97bf-2ddd9029908a?lang=en&amp;createdAt=2026-01-13T14:24:00Z</t>
  </si>
  <si>
    <t>https://ec.europa.eu/eurostat/databrowser/bookmark/f9d020fb-7642-4005-90f1-e5e2c0b4466a?lang=en&amp;createdAt=2026-01-13T14:28:41Z</t>
  </si>
  <si>
    <t>https://ec.europa.eu/eurostat/databrowser/bookmark/150cd555-ae70-4143-a7fa-6871190eb087?lang=en&amp;createdAt=2026-01-13T14:47:47Z</t>
  </si>
  <si>
    <t>isoc_cicce_usen2</t>
  </si>
  <si>
    <t>https://ec.europa.eu/eurostat/databrowser/bookmark/b9154a7f-8fe0-410b-8ad9-73c84f71f089?lang=en&amp;createdAt=2026-01-13T14:51:28Z</t>
  </si>
  <si>
    <t>https://ec.europa.eu/eurostat/databrowser/bookmark/6be1436f-e8ea-4548-85f2-9bf583c66c4f?lang=en&amp;createdAt=2026-01-13T14:53:10Z</t>
  </si>
  <si>
    <t>https://ec.europa.eu/eurostat/databrowser/bookmark/da70cad3-8594-4ff9-8424-e81bdc04aebd?lang=en&amp;createdAt=2026-01-13T14:54:26Z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</si>
</sst>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3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A6A6A6"/>
      </left>
      <right/>
      <top/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/>
      <top style="thin">
        <color indexed="64"/>
      </top>
      <bottom/>
      <diagonal/>
    </border>
    <border>
      <left style="hair">
        <color rgb="FFA6A6A6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rgb="FFA6A6A6"/>
      </left>
      <right style="hair">
        <color rgb="FFA6A6A6"/>
      </right>
      <top style="thin">
        <color indexed="64"/>
      </top>
      <bottom/>
      <diagonal/>
    </border>
    <border>
      <left/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 style="thin">
        <color indexed="64"/>
      </right>
      <top style="thin">
        <color indexed="64"/>
      </top>
      <bottom/>
      <diagonal/>
    </border>
    <border>
      <left style="hair">
        <color rgb="FFA6A6A6"/>
      </left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thin">
        <color indexed="64"/>
      </right>
      <top style="hair">
        <color rgb="FFC0C0C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C0C0C0"/>
      </bottom>
      <diagonal/>
    </border>
    <border>
      <left style="thin">
        <color indexed="64"/>
      </left>
      <right/>
      <top/>
      <bottom style="hair">
        <color rgb="FFC0C0C0"/>
      </bottom>
      <diagonal/>
    </border>
    <border>
      <left style="hair">
        <color rgb="FFA6A6A6"/>
      </left>
      <right style="hair">
        <color rgb="FFA6A6A6"/>
      </right>
      <top/>
      <bottom style="hair">
        <color rgb="FFC0C0C0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" fillId="0" borderId="0"/>
    <xf numFmtId="0" fontId="30" fillId="0" borderId="0" applyNumberFormat="0" applyFill="0" applyBorder="0" applyAlignment="0" applyProtection="0"/>
  </cellStyleXfs>
  <cellXfs count="171">
    <xf numFmtId="0" fontId="0" fillId="0" borderId="0" xfId="0"/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/>
    <xf numFmtId="165" fontId="20" fillId="0" borderId="0" xfId="1" applyNumberFormat="1" applyFont="1"/>
    <xf numFmtId="0" fontId="21" fillId="37" borderId="10" xfId="0" applyFont="1" applyFill="1" applyBorder="1" applyAlignment="1">
      <alignment horizontal="center" vertical="center"/>
    </xf>
    <xf numFmtId="0" fontId="23" fillId="37" borderId="1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left"/>
    </xf>
    <xf numFmtId="0" fontId="20" fillId="0" borderId="0" xfId="0" applyFont="1" applyBorder="1"/>
    <xf numFmtId="0" fontId="21" fillId="0" borderId="0" xfId="0" applyFont="1" applyFill="1" applyAlignment="1">
      <alignment horizontal="left"/>
    </xf>
    <xf numFmtId="0" fontId="20" fillId="0" borderId="0" xfId="0" applyFont="1" applyFill="1"/>
    <xf numFmtId="165" fontId="20" fillId="0" borderId="0" xfId="1" applyNumberFormat="1" applyFont="1" applyFill="1" applyAlignment="1">
      <alignment horizontal="right"/>
    </xf>
    <xf numFmtId="0" fontId="20" fillId="0" borderId="0" xfId="0" applyFont="1" applyFill="1" applyAlignment="1">
      <alignment horizontal="left"/>
    </xf>
    <xf numFmtId="0" fontId="24" fillId="0" borderId="0" xfId="0" applyFont="1" applyAlignment="1"/>
    <xf numFmtId="0" fontId="21" fillId="38" borderId="11" xfId="0" applyFont="1" applyFill="1" applyBorder="1"/>
    <xf numFmtId="0" fontId="21" fillId="34" borderId="16" xfId="0" applyFont="1" applyFill="1" applyBorder="1" applyAlignment="1">
      <alignment horizontal="center" vertical="center" wrapText="1"/>
    </xf>
    <xf numFmtId="0" fontId="21" fillId="34" borderId="0" xfId="0" applyFont="1" applyFill="1" applyBorder="1" applyAlignment="1">
      <alignment horizontal="center" vertical="center" wrapText="1"/>
    </xf>
    <xf numFmtId="0" fontId="21" fillId="34" borderId="23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left"/>
    </xf>
    <xf numFmtId="0" fontId="21" fillId="0" borderId="13" xfId="0" applyFont="1" applyFill="1" applyBorder="1" applyAlignment="1">
      <alignment horizontal="left"/>
    </xf>
    <xf numFmtId="1" fontId="20" fillId="0" borderId="13" xfId="0" applyNumberFormat="1" applyFont="1" applyFill="1" applyBorder="1" applyAlignment="1">
      <alignment horizontal="center"/>
    </xf>
    <xf numFmtId="1" fontId="21" fillId="0" borderId="27" xfId="0" applyNumberFormat="1" applyFont="1" applyFill="1" applyBorder="1" applyAlignment="1">
      <alignment horizontal="left"/>
    </xf>
    <xf numFmtId="1" fontId="21" fillId="0" borderId="0" xfId="0" applyNumberFormat="1" applyFont="1" applyFill="1" applyBorder="1" applyAlignment="1">
      <alignment horizontal="left"/>
    </xf>
    <xf numFmtId="0" fontId="24" fillId="0" borderId="0" xfId="0" applyFont="1" applyFill="1" applyAlignment="1"/>
    <xf numFmtId="0" fontId="19" fillId="0" borderId="0" xfId="0" applyFont="1"/>
    <xf numFmtId="0" fontId="23" fillId="0" borderId="0" xfId="0" applyFont="1" applyAlignment="1">
      <alignment horizontal="left"/>
    </xf>
    <xf numFmtId="0" fontId="25" fillId="0" borderId="0" xfId="0" applyFont="1" applyFill="1" applyBorder="1"/>
    <xf numFmtId="0" fontId="25" fillId="0" borderId="0" xfId="0" applyFont="1"/>
    <xf numFmtId="0" fontId="23" fillId="37" borderId="1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wrapText="1"/>
    </xf>
    <xf numFmtId="0" fontId="23" fillId="38" borderId="1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wrapText="1"/>
    </xf>
    <xf numFmtId="165" fontId="19" fillId="0" borderId="0" xfId="1" applyNumberFormat="1" applyFont="1"/>
    <xf numFmtId="0" fontId="27" fillId="0" borderId="0" xfId="0" applyFont="1" applyAlignment="1"/>
    <xf numFmtId="165" fontId="19" fillId="0" borderId="0" xfId="0" applyNumberFormat="1" applyFont="1"/>
    <xf numFmtId="0" fontId="21" fillId="37" borderId="10" xfId="0" applyFont="1" applyFill="1" applyBorder="1" applyAlignment="1">
      <alignment horizontal="center" vertical="center" wrapText="1"/>
    </xf>
    <xf numFmtId="0" fontId="21" fillId="0" borderId="0" xfId="0" applyFont="1" applyFill="1"/>
    <xf numFmtId="0" fontId="21" fillId="37" borderId="11" xfId="0" applyFont="1" applyFill="1" applyBorder="1" applyAlignment="1">
      <alignment horizontal="center" vertical="center"/>
    </xf>
    <xf numFmtId="0" fontId="23" fillId="37" borderId="2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1" fontId="20" fillId="0" borderId="0" xfId="0" applyNumberFormat="1" applyFont="1"/>
    <xf numFmtId="165" fontId="24" fillId="0" borderId="0" xfId="0" applyNumberFormat="1" applyFont="1"/>
    <xf numFmtId="0" fontId="21" fillId="0" borderId="17" xfId="0" applyFont="1" applyFill="1" applyBorder="1" applyAlignment="1">
      <alignment horizontal="left" vertical="center" wrapText="1"/>
    </xf>
    <xf numFmtId="0" fontId="21" fillId="37" borderId="12" xfId="0" applyFont="1" applyFill="1" applyBorder="1" applyAlignment="1">
      <alignment horizontal="center" vertical="center" wrapText="1"/>
    </xf>
    <xf numFmtId="0" fontId="21" fillId="37" borderId="0" xfId="0" applyFont="1" applyFill="1" applyBorder="1" applyAlignment="1">
      <alignment horizontal="center" vertical="center"/>
    </xf>
    <xf numFmtId="0" fontId="21" fillId="37" borderId="14" xfId="0" applyFont="1" applyFill="1" applyBorder="1" applyAlignment="1">
      <alignment horizontal="center" vertical="center"/>
    </xf>
    <xf numFmtId="0" fontId="21" fillId="38" borderId="11" xfId="0" applyFont="1" applyFill="1" applyBorder="1" applyAlignment="1">
      <alignment horizontal="left"/>
    </xf>
    <xf numFmtId="0" fontId="21" fillId="37" borderId="20" xfId="0" applyFont="1" applyFill="1" applyBorder="1" applyAlignment="1">
      <alignment horizontal="center" vertical="center"/>
    </xf>
    <xf numFmtId="0" fontId="21" fillId="37" borderId="20" xfId="0" applyFont="1" applyFill="1" applyBorder="1" applyAlignment="1">
      <alignment horizontal="center" vertical="center" wrapText="1"/>
    </xf>
    <xf numFmtId="0" fontId="1" fillId="0" borderId="0" xfId="44" applyFont="1" applyFill="1" applyBorder="1" applyAlignment="1">
      <alignment wrapText="1"/>
    </xf>
    <xf numFmtId="0" fontId="24" fillId="0" borderId="0" xfId="0" applyFont="1" applyFill="1"/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0" fillId="0" borderId="0" xfId="0" applyFont="1" applyAlignment="1"/>
    <xf numFmtId="0" fontId="25" fillId="0" borderId="0" xfId="0" applyFont="1" applyAlignment="1"/>
    <xf numFmtId="0" fontId="28" fillId="0" borderId="0" xfId="0" applyFont="1" applyAlignment="1">
      <alignment horizontal="right" vertical="center"/>
    </xf>
    <xf numFmtId="10" fontId="20" fillId="0" borderId="0" xfId="0" applyNumberFormat="1" applyFont="1"/>
    <xf numFmtId="1" fontId="20" fillId="0" borderId="0" xfId="0" applyNumberFormat="1" applyFont="1" applyFill="1"/>
    <xf numFmtId="0" fontId="20" fillId="0" borderId="0" xfId="0" applyFont="1" applyFill="1" applyAlignment="1"/>
    <xf numFmtId="10" fontId="20" fillId="0" borderId="0" xfId="0" applyNumberFormat="1" applyFont="1" applyFill="1"/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/>
    <xf numFmtId="0" fontId="28" fillId="0" borderId="0" xfId="0" applyFont="1" applyAlignment="1">
      <alignment vertical="center"/>
    </xf>
    <xf numFmtId="0" fontId="21" fillId="0" borderId="0" xfId="0" applyFont="1" applyBorder="1"/>
    <xf numFmtId="0" fontId="21" fillId="0" borderId="0" xfId="0" applyFont="1"/>
    <xf numFmtId="0" fontId="21" fillId="0" borderId="17" xfId="0" applyFont="1" applyBorder="1"/>
    <xf numFmtId="10" fontId="0" fillId="0" borderId="0" xfId="0" applyNumberFormat="1"/>
    <xf numFmtId="166" fontId="19" fillId="0" borderId="0" xfId="0" applyNumberFormat="1" applyFont="1" applyBorder="1"/>
    <xf numFmtId="0" fontId="20" fillId="0" borderId="0" xfId="0" applyNumberFormat="1" applyFont="1"/>
    <xf numFmtId="166" fontId="20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/>
    </xf>
    <xf numFmtId="166" fontId="20" fillId="0" borderId="0" xfId="0" applyNumberFormat="1" applyFont="1" applyBorder="1" applyAlignment="1">
      <alignment horizontal="center" vertical="center"/>
    </xf>
    <xf numFmtId="0" fontId="29" fillId="0" borderId="0" xfId="0" applyFont="1" applyFill="1" applyAlignment="1">
      <alignment horizontal="left"/>
    </xf>
    <xf numFmtId="1" fontId="21" fillId="0" borderId="15" xfId="0" applyNumberFormat="1" applyFont="1" applyFill="1" applyBorder="1" applyAlignment="1">
      <alignment horizontal="left"/>
    </xf>
    <xf numFmtId="0" fontId="21" fillId="38" borderId="17" xfId="0" applyFont="1" applyFill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4" fillId="0" borderId="0" xfId="0" applyFont="1" applyFill="1" applyAlignment="1">
      <alignment horizontal="left"/>
    </xf>
    <xf numFmtId="0" fontId="25" fillId="0" borderId="0" xfId="0" applyFont="1" applyFill="1"/>
    <xf numFmtId="0" fontId="20" fillId="0" borderId="0" xfId="0" applyFont="1" applyFill="1" applyBorder="1"/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34" borderId="22" xfId="0" applyFont="1" applyFill="1" applyBorder="1" applyAlignment="1">
      <alignment horizontal="center" vertical="center" wrapText="1"/>
    </xf>
    <xf numFmtId="0" fontId="21" fillId="0" borderId="0" xfId="0" applyFont="1" applyBorder="1" applyAlignment="1"/>
    <xf numFmtId="0" fontId="18" fillId="0" borderId="0" xfId="0" applyFont="1"/>
    <xf numFmtId="10" fontId="18" fillId="0" borderId="0" xfId="0" applyNumberFormat="1" applyFont="1"/>
    <xf numFmtId="2" fontId="20" fillId="0" borderId="0" xfId="0" applyNumberFormat="1" applyFont="1"/>
    <xf numFmtId="2" fontId="20" fillId="0" borderId="0" xfId="0" applyNumberFormat="1" applyFont="1" applyBorder="1"/>
    <xf numFmtId="2" fontId="0" fillId="0" borderId="0" xfId="0" applyNumberFormat="1"/>
    <xf numFmtId="2" fontId="20" fillId="0" borderId="17" xfId="0" applyNumberFormat="1" applyFont="1" applyBorder="1"/>
    <xf numFmtId="2" fontId="20" fillId="0" borderId="0" xfId="1" applyNumberFormat="1" applyFont="1" applyAlignment="1">
      <alignment vertical="center"/>
    </xf>
    <xf numFmtId="2" fontId="20" fillId="0" borderId="0" xfId="1" applyNumberFormat="1" applyFont="1"/>
    <xf numFmtId="2" fontId="20" fillId="0" borderId="0" xfId="1" applyNumberFormat="1" applyFont="1" applyBorder="1"/>
    <xf numFmtId="2" fontId="21" fillId="38" borderId="11" xfId="0" applyNumberFormat="1" applyFont="1" applyFill="1" applyBorder="1"/>
    <xf numFmtId="2" fontId="20" fillId="0" borderId="17" xfId="1" applyNumberFormat="1" applyFont="1" applyBorder="1"/>
    <xf numFmtId="164" fontId="20" fillId="0" borderId="0" xfId="0" applyNumberFormat="1" applyFont="1"/>
    <xf numFmtId="2" fontId="20" fillId="38" borderId="11" xfId="1" applyNumberFormat="1" applyFont="1" applyFill="1" applyBorder="1"/>
    <xf numFmtId="2" fontId="20" fillId="38" borderId="11" xfId="0" applyNumberFormat="1" applyFont="1" applyFill="1" applyBorder="1"/>
    <xf numFmtId="2" fontId="28" fillId="0" borderId="0" xfId="0" applyNumberFormat="1" applyFont="1" applyAlignment="1">
      <alignment horizontal="right" vertical="center"/>
    </xf>
    <xf numFmtId="2" fontId="28" fillId="0" borderId="0" xfId="0" applyNumberFormat="1" applyFont="1" applyBorder="1" applyAlignment="1">
      <alignment horizontal="right" vertical="center"/>
    </xf>
    <xf numFmtId="2" fontId="28" fillId="0" borderId="17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2" fontId="20" fillId="0" borderId="0" xfId="0" applyNumberFormat="1" applyFont="1" applyAlignment="1">
      <alignment vertical="center"/>
    </xf>
    <xf numFmtId="0" fontId="20" fillId="0" borderId="0" xfId="0" applyFont="1" applyBorder="1" applyAlignment="1">
      <alignment vertical="center"/>
    </xf>
    <xf numFmtId="2" fontId="20" fillId="0" borderId="0" xfId="0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2" fontId="20" fillId="0" borderId="17" xfId="0" applyNumberFormat="1" applyFont="1" applyBorder="1" applyAlignment="1">
      <alignment vertical="center"/>
    </xf>
    <xf numFmtId="2" fontId="19" fillId="0" borderId="10" xfId="1" applyNumberFormat="1" applyFont="1" applyBorder="1" applyAlignment="1">
      <alignment vertical="center"/>
    </xf>
    <xf numFmtId="2" fontId="19" fillId="0" borderId="10" xfId="0" applyNumberFormat="1" applyFont="1" applyBorder="1" applyAlignment="1">
      <alignment vertical="center"/>
    </xf>
    <xf numFmtId="2" fontId="19" fillId="0" borderId="0" xfId="1" applyNumberFormat="1" applyFont="1" applyBorder="1" applyAlignment="1">
      <alignment vertical="center"/>
    </xf>
    <xf numFmtId="2" fontId="19" fillId="0" borderId="0" xfId="0" applyNumberFormat="1" applyFont="1" applyBorder="1" applyAlignment="1">
      <alignment vertical="center"/>
    </xf>
    <xf numFmtId="0" fontId="21" fillId="0" borderId="17" xfId="0" applyFont="1" applyBorder="1" applyAlignment="1">
      <alignment horizontal="left" vertical="top" wrapText="1"/>
    </xf>
    <xf numFmtId="2" fontId="19" fillId="0" borderId="17" xfId="1" applyNumberFormat="1" applyFont="1" applyBorder="1" applyAlignment="1">
      <alignment vertical="center"/>
    </xf>
    <xf numFmtId="2" fontId="19" fillId="0" borderId="17" xfId="0" applyNumberFormat="1" applyFont="1" applyBorder="1" applyAlignment="1">
      <alignment vertical="center"/>
    </xf>
    <xf numFmtId="1" fontId="19" fillId="0" borderId="0" xfId="1" applyNumberFormat="1" applyFont="1" applyFill="1" applyBorder="1"/>
    <xf numFmtId="1" fontId="19" fillId="0" borderId="0" xfId="1" applyNumberFormat="1" applyFont="1" applyBorder="1"/>
    <xf numFmtId="166" fontId="25" fillId="0" borderId="0" xfId="0" applyNumberFormat="1" applyFont="1" applyBorder="1"/>
    <xf numFmtId="0" fontId="19" fillId="0" borderId="0" xfId="0" applyFont="1" applyBorder="1"/>
    <xf numFmtId="165" fontId="19" fillId="0" borderId="0" xfId="1" applyNumberFormat="1" applyFont="1" applyBorder="1"/>
    <xf numFmtId="2" fontId="20" fillId="0" borderId="36" xfId="1" applyNumberFormat="1" applyFont="1" applyBorder="1"/>
    <xf numFmtId="2" fontId="20" fillId="33" borderId="15" xfId="0" applyNumberFormat="1" applyFont="1" applyFill="1" applyBorder="1" applyAlignment="1">
      <alignment horizontal="center"/>
    </xf>
    <xf numFmtId="2" fontId="20" fillId="0" borderId="15" xfId="0" applyNumberFormat="1" applyFont="1" applyFill="1" applyBorder="1" applyAlignment="1">
      <alignment horizontal="center"/>
    </xf>
    <xf numFmtId="2" fontId="20" fillId="0" borderId="28" xfId="0" applyNumberFormat="1" applyFont="1" applyFill="1" applyBorder="1" applyAlignment="1">
      <alignment horizontal="center"/>
    </xf>
    <xf numFmtId="2" fontId="20" fillId="0" borderId="33" xfId="0" applyNumberFormat="1" applyFont="1" applyFill="1" applyBorder="1" applyAlignment="1">
      <alignment horizontal="center"/>
    </xf>
    <xf numFmtId="2" fontId="20" fillId="0" borderId="34" xfId="0" applyNumberFormat="1" applyFont="1" applyFill="1" applyBorder="1" applyAlignment="1">
      <alignment horizontal="center"/>
    </xf>
    <xf numFmtId="2" fontId="20" fillId="0" borderId="35" xfId="0" applyNumberFormat="1" applyFont="1" applyFill="1" applyBorder="1" applyAlignment="1">
      <alignment horizontal="center"/>
    </xf>
    <xf numFmtId="2" fontId="20" fillId="33" borderId="25" xfId="0" applyNumberFormat="1" applyFont="1" applyFill="1" applyBorder="1" applyAlignment="1">
      <alignment horizontal="center"/>
    </xf>
    <xf numFmtId="2" fontId="20" fillId="33" borderId="26" xfId="0" applyNumberFormat="1" applyFont="1" applyFill="1" applyBorder="1" applyAlignment="1">
      <alignment horizontal="center"/>
    </xf>
    <xf numFmtId="2" fontId="20" fillId="33" borderId="13" xfId="0" applyNumberFormat="1" applyFont="1" applyFill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2" fontId="20" fillId="0" borderId="15" xfId="0" applyNumberFormat="1" applyFont="1" applyBorder="1" applyAlignment="1">
      <alignment horizontal="center"/>
    </xf>
    <xf numFmtId="2" fontId="20" fillId="33" borderId="21" xfId="0" applyNumberFormat="1" applyFont="1" applyFill="1" applyBorder="1" applyAlignment="1">
      <alignment horizontal="center"/>
    </xf>
    <xf numFmtId="2" fontId="20" fillId="36" borderId="25" xfId="0" applyNumberFormat="1" applyFont="1" applyFill="1" applyBorder="1" applyAlignment="1">
      <alignment horizontal="center"/>
    </xf>
    <xf numFmtId="2" fontId="20" fillId="36" borderId="15" xfId="0" applyNumberFormat="1" applyFont="1" applyFill="1" applyBorder="1" applyAlignment="1">
      <alignment horizontal="center"/>
    </xf>
    <xf numFmtId="2" fontId="20" fillId="0" borderId="21" xfId="0" applyNumberFormat="1" applyFont="1" applyBorder="1" applyAlignment="1">
      <alignment horizontal="center"/>
    </xf>
    <xf numFmtId="2" fontId="20" fillId="0" borderId="25" xfId="0" applyNumberFormat="1" applyFont="1" applyFill="1" applyBorder="1" applyAlignment="1">
      <alignment horizontal="center"/>
    </xf>
    <xf numFmtId="2" fontId="20" fillId="0" borderId="26" xfId="0" applyNumberFormat="1" applyFont="1" applyFill="1" applyBorder="1" applyAlignment="1">
      <alignment horizontal="center"/>
    </xf>
    <xf numFmtId="2" fontId="20" fillId="0" borderId="13" xfId="0" applyNumberFormat="1" applyFont="1" applyFill="1" applyBorder="1" applyAlignment="1">
      <alignment horizontal="center"/>
    </xf>
    <xf numFmtId="2" fontId="20" fillId="0" borderId="32" xfId="0" applyNumberFormat="1" applyFont="1" applyBorder="1" applyAlignment="1">
      <alignment horizontal="center"/>
    </xf>
    <xf numFmtId="2" fontId="20" fillId="0" borderId="18" xfId="0" applyNumberFormat="1" applyFont="1" applyBorder="1" applyAlignment="1">
      <alignment horizontal="center"/>
    </xf>
    <xf numFmtId="2" fontId="20" fillId="0" borderId="29" xfId="0" applyNumberFormat="1" applyFont="1" applyFill="1" applyBorder="1" applyAlignment="1">
      <alignment horizontal="center"/>
    </xf>
    <xf numFmtId="2" fontId="20" fillId="0" borderId="30" xfId="0" applyNumberFormat="1" applyFont="1" applyFill="1" applyBorder="1" applyAlignment="1">
      <alignment horizontal="center"/>
    </xf>
    <xf numFmtId="2" fontId="20" fillId="0" borderId="27" xfId="0" applyNumberFormat="1" applyFont="1" applyFill="1" applyBorder="1" applyAlignment="1">
      <alignment horizontal="center"/>
    </xf>
    <xf numFmtId="2" fontId="20" fillId="0" borderId="23" xfId="0" applyNumberFormat="1" applyFont="1" applyFill="1" applyBorder="1" applyAlignment="1">
      <alignment horizontal="center"/>
    </xf>
    <xf numFmtId="2" fontId="20" fillId="0" borderId="28" xfId="0" applyNumberFormat="1" applyFont="1" applyBorder="1" applyAlignment="1">
      <alignment horizontal="center"/>
    </xf>
    <xf numFmtId="2" fontId="20" fillId="0" borderId="31" xfId="0" applyNumberFormat="1" applyFont="1" applyFill="1" applyBorder="1" applyAlignment="1">
      <alignment horizontal="center" vertical="center"/>
    </xf>
    <xf numFmtId="2" fontId="20" fillId="0" borderId="32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0" fontId="21" fillId="35" borderId="11" xfId="0" applyFont="1" applyFill="1" applyBorder="1" applyAlignment="1">
      <alignment horizontal="left"/>
    </xf>
    <xf numFmtId="2" fontId="20" fillId="35" borderId="16" xfId="0" applyNumberFormat="1" applyFont="1" applyFill="1" applyBorder="1" applyAlignment="1">
      <alignment horizontal="center"/>
    </xf>
    <xf numFmtId="2" fontId="20" fillId="35" borderId="22" xfId="0" applyNumberFormat="1" applyFont="1" applyFill="1" applyBorder="1" applyAlignment="1">
      <alignment horizontal="center"/>
    </xf>
    <xf numFmtId="2" fontId="20" fillId="35" borderId="39" xfId="0" applyNumberFormat="1" applyFont="1" applyFill="1" applyBorder="1" applyAlignment="1">
      <alignment horizontal="center"/>
    </xf>
    <xf numFmtId="2" fontId="20" fillId="35" borderId="11" xfId="0" applyNumberFormat="1" applyFont="1" applyFill="1" applyBorder="1" applyAlignment="1">
      <alignment horizontal="center"/>
    </xf>
    <xf numFmtId="0" fontId="21" fillId="33" borderId="40" xfId="0" applyFont="1" applyFill="1" applyBorder="1" applyAlignment="1">
      <alignment horizontal="left"/>
    </xf>
    <xf numFmtId="2" fontId="20" fillId="33" borderId="41" xfId="0" applyNumberFormat="1" applyFont="1" applyFill="1" applyBorder="1" applyAlignment="1">
      <alignment horizontal="center"/>
    </xf>
    <xf numFmtId="2" fontId="20" fillId="33" borderId="42" xfId="0" applyNumberFormat="1" applyFont="1" applyFill="1" applyBorder="1" applyAlignment="1">
      <alignment horizontal="center"/>
    </xf>
    <xf numFmtId="2" fontId="20" fillId="33" borderId="40" xfId="0" applyNumberFormat="1" applyFont="1" applyFill="1" applyBorder="1" applyAlignment="1">
      <alignment horizontal="center"/>
    </xf>
    <xf numFmtId="0" fontId="21" fillId="34" borderId="24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38" xfId="0" applyFont="1" applyFill="1" applyBorder="1" applyAlignment="1">
      <alignment horizontal="center" vertical="center" wrapText="1"/>
    </xf>
    <xf numFmtId="0" fontId="21" fillId="34" borderId="37" xfId="0" applyFont="1" applyFill="1" applyBorder="1" applyAlignment="1">
      <alignment horizontal="center" vertical="center" wrapText="1"/>
    </xf>
    <xf numFmtId="0" fontId="21" fillId="34" borderId="27" xfId="0" applyFont="1" applyFill="1" applyBorder="1" applyAlignment="1">
      <alignment horizontal="center" vertical="center" wrapText="1"/>
    </xf>
    <xf numFmtId="0" fontId="21" fillId="34" borderId="36" xfId="0" applyFont="1" applyFill="1" applyBorder="1" applyAlignment="1">
      <alignment horizontal="center" vertical="center" wrapText="1"/>
    </xf>
    <xf numFmtId="0" fontId="21" fillId="37" borderId="37" xfId="0" applyFont="1" applyFill="1" applyBorder="1" applyAlignment="1">
      <alignment horizontal="center" vertical="center" wrapText="1"/>
    </xf>
    <xf numFmtId="0" fontId="30" fillId="0" borderId="0" xfId="45"/>
    <xf numFmtId="1" fontId="30" fillId="0" borderId="0" xfId="45" applyNumberFormat="1"/>
    <xf numFmtId="0" fontId="30" fillId="0" borderId="0" xfId="45" applyFill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5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6000000}"/>
    <cellStyle name="Normal_Figure 3" xfId="44" xr:uid="{00000000-0005-0000-0000-000027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99CC"/>
      <color rgb="FFFF6699"/>
      <color rgb="FF9D496F"/>
      <color rgb="FFB036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paid cloud computing services, EU, 2023 and 2025</a:t>
            </a:r>
          </a:p>
          <a:p>
            <a:pPr algn="l">
              <a:defRPr sz="1800" b="1"/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1912438647933372"/>
          <c:w val="0.97066666666666668"/>
          <c:h val="0.71479488471564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'Fig1'!$C$5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'Fig1'!$B$6:$B$41</c:f>
              <c:strCache>
                <c:ptCount val="36"/>
                <c:pt idx="0">
                  <c:v>EU</c:v>
                </c:pt>
                <c:pt idx="2">
                  <c:v>Finland</c:v>
                </c:pt>
                <c:pt idx="3">
                  <c:v>Italy</c:v>
                </c:pt>
                <c:pt idx="4">
                  <c:v>Malta</c:v>
                </c:pt>
                <c:pt idx="5">
                  <c:v>Ireland</c:v>
                </c:pt>
                <c:pt idx="6">
                  <c:v>Sweden</c:v>
                </c:pt>
                <c:pt idx="7">
                  <c:v>Denmark</c:v>
                </c:pt>
                <c:pt idx="8">
                  <c:v>Netherlands</c:v>
                </c:pt>
                <c:pt idx="9">
                  <c:v>Belgium</c:v>
                </c:pt>
                <c:pt idx="10">
                  <c:v>Estonia</c:v>
                </c:pt>
                <c:pt idx="11">
                  <c:v>Lithuania</c:v>
                </c:pt>
                <c:pt idx="12">
                  <c:v>Czechia</c:v>
                </c:pt>
                <c:pt idx="13">
                  <c:v>Poland</c:v>
                </c:pt>
                <c:pt idx="14">
                  <c:v>Germany</c:v>
                </c:pt>
                <c:pt idx="15">
                  <c:v>Austria</c:v>
                </c:pt>
                <c:pt idx="16">
                  <c:v>Cyprus</c:v>
                </c:pt>
                <c:pt idx="17">
                  <c:v>Slovenia</c:v>
                </c:pt>
                <c:pt idx="18">
                  <c:v>Hungary</c:v>
                </c:pt>
                <c:pt idx="19">
                  <c:v>Luxembourg</c:v>
                </c:pt>
                <c:pt idx="20">
                  <c:v>Croatia</c:v>
                </c:pt>
                <c:pt idx="21">
                  <c:v>Latvia</c:v>
                </c:pt>
                <c:pt idx="22">
                  <c:v>Spain</c:v>
                </c:pt>
                <c:pt idx="23">
                  <c:v>France</c:v>
                </c:pt>
                <c:pt idx="24">
                  <c:v>Portugal</c:v>
                </c:pt>
                <c:pt idx="25">
                  <c:v>Slovakia</c:v>
                </c:pt>
                <c:pt idx="26">
                  <c:v>Romania</c:v>
                </c:pt>
                <c:pt idx="27">
                  <c:v>Greece</c:v>
                </c:pt>
                <c:pt idx="28">
                  <c:v>Bulgaria</c:v>
                </c:pt>
                <c:pt idx="30">
                  <c:v>Norway</c:v>
                </c:pt>
                <c:pt idx="32">
                  <c:v>Serbia</c:v>
                </c:pt>
                <c:pt idx="33">
                  <c:v>Montenegro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'Fig1'!$C$6:$C$41</c:f>
              <c:numCache>
                <c:formatCode>0.00</c:formatCode>
                <c:ptCount val="36"/>
                <c:pt idx="0">
                  <c:v>45.32</c:v>
                </c:pt>
                <c:pt idx="2">
                  <c:v>78.290000000000006</c:v>
                </c:pt>
                <c:pt idx="3">
                  <c:v>61.39</c:v>
                </c:pt>
                <c:pt idx="4">
                  <c:v>66.739999999999995</c:v>
                </c:pt>
                <c:pt idx="5">
                  <c:v>63.1</c:v>
                </c:pt>
                <c:pt idx="6">
                  <c:v>71.62</c:v>
                </c:pt>
                <c:pt idx="7">
                  <c:v>69.48</c:v>
                </c:pt>
                <c:pt idx="8">
                  <c:v>64.19</c:v>
                </c:pt>
                <c:pt idx="9">
                  <c:v>51.69</c:v>
                </c:pt>
                <c:pt idx="10">
                  <c:v>58.57</c:v>
                </c:pt>
                <c:pt idx="11">
                  <c:v>38.39</c:v>
                </c:pt>
                <c:pt idx="12">
                  <c:v>47.15</c:v>
                </c:pt>
                <c:pt idx="13">
                  <c:v>55.67</c:v>
                </c:pt>
                <c:pt idx="14">
                  <c:v>47</c:v>
                </c:pt>
                <c:pt idx="15">
                  <c:v>46.48</c:v>
                </c:pt>
                <c:pt idx="16">
                  <c:v>52.93</c:v>
                </c:pt>
                <c:pt idx="17">
                  <c:v>40.21</c:v>
                </c:pt>
                <c:pt idx="18">
                  <c:v>44.94</c:v>
                </c:pt>
                <c:pt idx="19">
                  <c:v>37.04</c:v>
                </c:pt>
                <c:pt idx="20">
                  <c:v>45.08</c:v>
                </c:pt>
                <c:pt idx="21">
                  <c:v>35.76</c:v>
                </c:pt>
                <c:pt idx="22">
                  <c:v>30.04</c:v>
                </c:pt>
                <c:pt idx="23">
                  <c:v>26.76</c:v>
                </c:pt>
                <c:pt idx="24">
                  <c:v>37.5</c:v>
                </c:pt>
                <c:pt idx="25">
                  <c:v>34.42</c:v>
                </c:pt>
                <c:pt idx="26">
                  <c:v>18.399999999999999</c:v>
                </c:pt>
                <c:pt idx="27">
                  <c:v>23.59</c:v>
                </c:pt>
                <c:pt idx="28">
                  <c:v>17.5</c:v>
                </c:pt>
                <c:pt idx="30">
                  <c:v>71.34</c:v>
                </c:pt>
                <c:pt idx="32">
                  <c:v>37</c:v>
                </c:pt>
                <c:pt idx="33">
                  <c:v>31.66</c:v>
                </c:pt>
                <c:pt idx="34">
                  <c:v>20.66</c:v>
                </c:pt>
                <c:pt idx="35">
                  <c:v>16.39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E-4DDA-96F7-2302D5F0E9BB}"/>
            </c:ext>
          </c:extLst>
        </c:ser>
        <c:ser>
          <c:idx val="1"/>
          <c:order val="1"/>
          <c:tx>
            <c:strRef>
              <c:f>'Fig1'!$D$5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'Fig1'!$B$6:$B$41</c:f>
              <c:strCache>
                <c:ptCount val="36"/>
                <c:pt idx="0">
                  <c:v>EU</c:v>
                </c:pt>
                <c:pt idx="2">
                  <c:v>Finland</c:v>
                </c:pt>
                <c:pt idx="3">
                  <c:v>Italy</c:v>
                </c:pt>
                <c:pt idx="4">
                  <c:v>Malta</c:v>
                </c:pt>
                <c:pt idx="5">
                  <c:v>Ireland</c:v>
                </c:pt>
                <c:pt idx="6">
                  <c:v>Sweden</c:v>
                </c:pt>
                <c:pt idx="7">
                  <c:v>Denmark</c:v>
                </c:pt>
                <c:pt idx="8">
                  <c:v>Netherlands</c:v>
                </c:pt>
                <c:pt idx="9">
                  <c:v>Belgium</c:v>
                </c:pt>
                <c:pt idx="10">
                  <c:v>Estonia</c:v>
                </c:pt>
                <c:pt idx="11">
                  <c:v>Lithuania</c:v>
                </c:pt>
                <c:pt idx="12">
                  <c:v>Czechia</c:v>
                </c:pt>
                <c:pt idx="13">
                  <c:v>Poland</c:v>
                </c:pt>
                <c:pt idx="14">
                  <c:v>Germany</c:v>
                </c:pt>
                <c:pt idx="15">
                  <c:v>Austria</c:v>
                </c:pt>
                <c:pt idx="16">
                  <c:v>Cyprus</c:v>
                </c:pt>
                <c:pt idx="17">
                  <c:v>Slovenia</c:v>
                </c:pt>
                <c:pt idx="18">
                  <c:v>Hungary</c:v>
                </c:pt>
                <c:pt idx="19">
                  <c:v>Luxembourg</c:v>
                </c:pt>
                <c:pt idx="20">
                  <c:v>Croatia</c:v>
                </c:pt>
                <c:pt idx="21">
                  <c:v>Latvia</c:v>
                </c:pt>
                <c:pt idx="22">
                  <c:v>Spain</c:v>
                </c:pt>
                <c:pt idx="23">
                  <c:v>France</c:v>
                </c:pt>
                <c:pt idx="24">
                  <c:v>Portugal</c:v>
                </c:pt>
                <c:pt idx="25">
                  <c:v>Slovakia</c:v>
                </c:pt>
                <c:pt idx="26">
                  <c:v>Romania</c:v>
                </c:pt>
                <c:pt idx="27">
                  <c:v>Greece</c:v>
                </c:pt>
                <c:pt idx="28">
                  <c:v>Bulgaria</c:v>
                </c:pt>
                <c:pt idx="30">
                  <c:v>Norway</c:v>
                </c:pt>
                <c:pt idx="32">
                  <c:v>Serbia</c:v>
                </c:pt>
                <c:pt idx="33">
                  <c:v>Montenegro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'Fig1'!$D$6:$D$41</c:f>
              <c:numCache>
                <c:formatCode>0.00</c:formatCode>
                <c:ptCount val="36"/>
                <c:pt idx="0">
                  <c:v>52.74</c:v>
                </c:pt>
                <c:pt idx="2">
                  <c:v>79.209999999999994</c:v>
                </c:pt>
                <c:pt idx="3">
                  <c:v>75.599999999999994</c:v>
                </c:pt>
                <c:pt idx="4">
                  <c:v>74.87</c:v>
                </c:pt>
                <c:pt idx="5">
                  <c:v>73.040000000000006</c:v>
                </c:pt>
                <c:pt idx="6">
                  <c:v>72</c:v>
                </c:pt>
                <c:pt idx="7">
                  <c:v>68.88</c:v>
                </c:pt>
                <c:pt idx="8">
                  <c:v>68.489999999999995</c:v>
                </c:pt>
                <c:pt idx="9">
                  <c:v>61.62</c:v>
                </c:pt>
                <c:pt idx="10">
                  <c:v>60.66</c:v>
                </c:pt>
                <c:pt idx="11">
                  <c:v>58.06</c:v>
                </c:pt>
                <c:pt idx="12">
                  <c:v>54.9</c:v>
                </c:pt>
                <c:pt idx="13">
                  <c:v>54.71</c:v>
                </c:pt>
                <c:pt idx="14">
                  <c:v>53.91</c:v>
                </c:pt>
                <c:pt idx="15">
                  <c:v>52.08</c:v>
                </c:pt>
                <c:pt idx="16">
                  <c:v>51.38</c:v>
                </c:pt>
                <c:pt idx="17">
                  <c:v>48.04</c:v>
                </c:pt>
                <c:pt idx="18">
                  <c:v>47.96</c:v>
                </c:pt>
                <c:pt idx="19">
                  <c:v>47.7</c:v>
                </c:pt>
                <c:pt idx="20">
                  <c:v>46.61</c:v>
                </c:pt>
                <c:pt idx="21">
                  <c:v>44.08</c:v>
                </c:pt>
                <c:pt idx="22">
                  <c:v>41.65</c:v>
                </c:pt>
                <c:pt idx="23">
                  <c:v>40.409999999999997</c:v>
                </c:pt>
                <c:pt idx="24">
                  <c:v>38.71</c:v>
                </c:pt>
                <c:pt idx="25">
                  <c:v>36.44</c:v>
                </c:pt>
                <c:pt idx="26">
                  <c:v>24.94</c:v>
                </c:pt>
                <c:pt idx="27">
                  <c:v>24.33</c:v>
                </c:pt>
                <c:pt idx="28">
                  <c:v>17.829999999999998</c:v>
                </c:pt>
                <c:pt idx="30">
                  <c:v>66.540000000000006</c:v>
                </c:pt>
                <c:pt idx="32">
                  <c:v>41.51</c:v>
                </c:pt>
                <c:pt idx="33">
                  <c:v>33.36</c:v>
                </c:pt>
                <c:pt idx="34">
                  <c:v>28.99</c:v>
                </c:pt>
                <c:pt idx="35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E-4DDA-96F7-2302D5F0E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886526287"/>
        <c:axId val="1886527247"/>
      </c:barChart>
      <c:catAx>
        <c:axId val="1886526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6527247"/>
        <c:crosses val="autoZero"/>
        <c:auto val="1"/>
        <c:lblAlgn val="ctr"/>
        <c:lblOffset val="100"/>
        <c:tickMarkSkip val="1"/>
        <c:noMultiLvlLbl val="0"/>
      </c:catAx>
      <c:valAx>
        <c:axId val="1886527247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652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96923884514438"/>
          <c:y val="0.85609132282396083"/>
          <c:w val="0.12406141732283464"/>
          <c:h val="4.0899438811396197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paid computing services by economic activity, EU, 2023 and 2025</a:t>
            </a:r>
          </a:p>
          <a:p>
            <a:pPr algn="l">
              <a:defRPr sz="1800" b="1"/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title>
    <c:autoTitleDeleted val="0"/>
    <c:plotArea>
      <c:layout>
        <c:manualLayout>
          <c:xMode val="edge"/>
          <c:yMode val="edge"/>
          <c:x val="1.4666666666666666E-2"/>
          <c:y val="0.16084815636295824"/>
          <c:w val="0.97066666666666668"/>
          <c:h val="0.67307111483202331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'Fig2'!$D$6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'Fig2'!$B$7:$B$16</c:f>
              <c:strCache>
                <c:ptCount val="10"/>
                <c:pt idx="0">
                  <c:v>Accommodation and food service activities</c:v>
                </c:pt>
                <c:pt idx="1">
                  <c:v>Transportation and storage</c:v>
                </c:pt>
                <c:pt idx="2">
                  <c:v>Construction</c:v>
                </c:pt>
                <c:pt idx="3">
                  <c:v>Wholesale and retail trade; repair of motor vehicles and motorcycles</c:v>
                </c:pt>
                <c:pt idx="4">
                  <c:v>Administrative and support service activities</c:v>
                </c:pt>
                <c:pt idx="5">
                  <c:v>Manufacturing</c:v>
                </c:pt>
                <c:pt idx="6">
                  <c:v>Real estate activities</c:v>
                </c:pt>
                <c:pt idx="7">
                  <c:v>Electricity, gas, steam and air conditioning supply; water supply; sewerage, waste management and remediation activities</c:v>
                </c:pt>
                <c:pt idx="8">
                  <c:v>Professional, scientific and technical activities</c:v>
                </c:pt>
                <c:pt idx="9">
                  <c:v>Information and communication</c:v>
                </c:pt>
              </c:strCache>
            </c:strRef>
          </c:cat>
          <c:val>
            <c:numRef>
              <c:f>'Fig2'!$D$7:$D$16</c:f>
              <c:numCache>
                <c:formatCode>0.00</c:formatCode>
                <c:ptCount val="10"/>
                <c:pt idx="0">
                  <c:v>39.520000000000003</c:v>
                </c:pt>
                <c:pt idx="1">
                  <c:v>46.57</c:v>
                </c:pt>
                <c:pt idx="2">
                  <c:v>47.47</c:v>
                </c:pt>
                <c:pt idx="3">
                  <c:v>51.34</c:v>
                </c:pt>
                <c:pt idx="4">
                  <c:v>51.96</c:v>
                </c:pt>
                <c:pt idx="5">
                  <c:v>53.96</c:v>
                </c:pt>
                <c:pt idx="6">
                  <c:v>61.6</c:v>
                </c:pt>
                <c:pt idx="7">
                  <c:v>62.11</c:v>
                </c:pt>
                <c:pt idx="8">
                  <c:v>67.39</c:v>
                </c:pt>
                <c:pt idx="9">
                  <c:v>82.92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0-4BB8-817D-00200633369D}"/>
            </c:ext>
          </c:extLst>
        </c:ser>
        <c:ser>
          <c:idx val="0"/>
          <c:order val="1"/>
          <c:tx>
            <c:strRef>
              <c:f>'Fig2'!$C$6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'Fig2'!$B$7:$B$16</c:f>
              <c:strCache>
                <c:ptCount val="10"/>
                <c:pt idx="0">
                  <c:v>Accommodation and food service activities</c:v>
                </c:pt>
                <c:pt idx="1">
                  <c:v>Transportation and storage</c:v>
                </c:pt>
                <c:pt idx="2">
                  <c:v>Construction</c:v>
                </c:pt>
                <c:pt idx="3">
                  <c:v>Wholesale and retail trade; repair of motor vehicles and motorcycles</c:v>
                </c:pt>
                <c:pt idx="4">
                  <c:v>Administrative and support service activities</c:v>
                </c:pt>
                <c:pt idx="5">
                  <c:v>Manufacturing</c:v>
                </c:pt>
                <c:pt idx="6">
                  <c:v>Real estate activities</c:v>
                </c:pt>
                <c:pt idx="7">
                  <c:v>Electricity, gas, steam and air conditioning supply; water supply; sewerage, waste management and remediation activities</c:v>
                </c:pt>
                <c:pt idx="8">
                  <c:v>Professional, scientific and technical activities</c:v>
                </c:pt>
                <c:pt idx="9">
                  <c:v>Information and communication</c:v>
                </c:pt>
              </c:strCache>
            </c:strRef>
          </c:cat>
          <c:val>
            <c:numRef>
              <c:f>'Fig2'!$C$7:$C$16</c:f>
              <c:numCache>
                <c:formatCode>0.00</c:formatCode>
                <c:ptCount val="10"/>
                <c:pt idx="0">
                  <c:v>32.21</c:v>
                </c:pt>
                <c:pt idx="1">
                  <c:v>38.76</c:v>
                </c:pt>
                <c:pt idx="2">
                  <c:v>37.69</c:v>
                </c:pt>
                <c:pt idx="3">
                  <c:v>44.57</c:v>
                </c:pt>
                <c:pt idx="4">
                  <c:v>44.16</c:v>
                </c:pt>
                <c:pt idx="5">
                  <c:v>45.01</c:v>
                </c:pt>
                <c:pt idx="6">
                  <c:v>56.13</c:v>
                </c:pt>
                <c:pt idx="7">
                  <c:v>51.55</c:v>
                </c:pt>
                <c:pt idx="8">
                  <c:v>62.7</c:v>
                </c:pt>
                <c:pt idx="9">
                  <c:v>79.25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0-4BB8-817D-002006333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32091855"/>
        <c:axId val="194601631"/>
      </c:barChart>
      <c:scatterChart>
        <c:scatterStyle val="lineMarker"/>
        <c:varyColors val="0"/>
        <c:ser>
          <c:idx val="3"/>
          <c:order val="2"/>
          <c:tx>
            <c:strRef>
              <c:f>'Fig2'!$F$6</c:f>
              <c:strCache>
                <c:ptCount val="1"/>
                <c:pt idx="0">
                  <c:v>2023 - 
all activities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585612968591692E-2"/>
                  <c:y val="-2.41876926861591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b="1" baseline="0">
                        <a:solidFill>
                          <a:schemeClr val="accent1"/>
                        </a:solidFill>
                      </a:rPr>
                      <a:t>EU-45.32%</a:t>
                    </a:r>
                    <a:endParaRPr lang="en-US" b="1">
                      <a:solidFill>
                        <a:schemeClr val="accent1"/>
                      </a:solidFill>
                    </a:endParaRP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18-5230-4BB8-817D-002006333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'Fig2'!$F$7:$F$16</c:f>
              <c:numCache>
                <c:formatCode>0.00</c:formatCode>
                <c:ptCount val="10"/>
                <c:pt idx="0">
                  <c:v>45.32</c:v>
                </c:pt>
                <c:pt idx="1">
                  <c:v>45.32</c:v>
                </c:pt>
                <c:pt idx="2">
                  <c:v>45.32</c:v>
                </c:pt>
                <c:pt idx="3">
                  <c:v>45.32</c:v>
                </c:pt>
                <c:pt idx="4">
                  <c:v>45.32</c:v>
                </c:pt>
                <c:pt idx="5">
                  <c:v>45.32</c:v>
                </c:pt>
                <c:pt idx="6">
                  <c:v>45.32</c:v>
                </c:pt>
                <c:pt idx="7">
                  <c:v>45.32</c:v>
                </c:pt>
                <c:pt idx="8">
                  <c:v>45.32</c:v>
                </c:pt>
                <c:pt idx="9">
                  <c:v>45.32</c:v>
                </c:pt>
              </c:numCache>
            </c:numRef>
          </c:xVal>
          <c:yVal>
            <c:numRef>
              <c:f>'Fig2'!$H$7:$H$16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30-4BB8-817D-00200633369D}"/>
            </c:ext>
          </c:extLst>
        </c:ser>
        <c:ser>
          <c:idx val="4"/>
          <c:order val="3"/>
          <c:tx>
            <c:strRef>
              <c:f>'Fig2'!$G$6</c:f>
              <c:strCache>
                <c:ptCount val="1"/>
                <c:pt idx="0">
                  <c:v>2025 - 
all activities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931104356636272E-2"/>
                  <c:y val="-2.41876926861591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2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b="1">
                        <a:solidFill>
                          <a:schemeClr val="accent2"/>
                        </a:solidFill>
                      </a:rPr>
                      <a:t>EU-52.74%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DE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19-5230-4BB8-817D-002006333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'Fig2'!$G$7:$G$17</c:f>
              <c:numCache>
                <c:formatCode>0.00</c:formatCode>
                <c:ptCount val="11"/>
                <c:pt idx="0">
                  <c:v>52.74</c:v>
                </c:pt>
                <c:pt idx="1">
                  <c:v>52.74</c:v>
                </c:pt>
                <c:pt idx="2">
                  <c:v>52.74</c:v>
                </c:pt>
                <c:pt idx="3">
                  <c:v>52.74</c:v>
                </c:pt>
                <c:pt idx="4">
                  <c:v>52.74</c:v>
                </c:pt>
                <c:pt idx="5">
                  <c:v>52.74</c:v>
                </c:pt>
                <c:pt idx="6">
                  <c:v>52.74</c:v>
                </c:pt>
                <c:pt idx="7">
                  <c:v>52.74</c:v>
                </c:pt>
                <c:pt idx="8">
                  <c:v>52.74</c:v>
                </c:pt>
                <c:pt idx="9">
                  <c:v>52.74</c:v>
                </c:pt>
              </c:numCache>
            </c:numRef>
          </c:xVal>
          <c:yVal>
            <c:numRef>
              <c:f>'Fig2'!$H$7:$H$18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30-4BB8-817D-002006333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967711"/>
        <c:axId val="1718965791"/>
      </c:scatterChart>
      <c:valAx>
        <c:axId val="194601631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532091855"/>
        <c:crosses val="autoZero"/>
        <c:crossBetween val="between"/>
      </c:valAx>
      <c:catAx>
        <c:axId val="1532091855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94601631"/>
        <c:crosses val="autoZero"/>
        <c:auto val="1"/>
        <c:lblAlgn val="ctr"/>
        <c:lblOffset val="100"/>
        <c:tickMarkSkip val="1"/>
        <c:noMultiLvlLbl val="0"/>
      </c:catAx>
      <c:valAx>
        <c:axId val="1718965791"/>
        <c:scaling>
          <c:orientation val="maxMin"/>
          <c:max val="80"/>
        </c:scaling>
        <c:delete val="1"/>
        <c:axPos val="r"/>
        <c:numFmt formatCode="General" sourceLinked="1"/>
        <c:majorTickMark val="out"/>
        <c:minorTickMark val="none"/>
        <c:tickLblPos val="nextTo"/>
        <c:crossAx val="1718967711"/>
        <c:crosses val="max"/>
        <c:crossBetween val="midCat"/>
      </c:valAx>
      <c:valAx>
        <c:axId val="1718967711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171896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160164819823053"/>
          <c:y val="0.85407568176678084"/>
          <c:w val="0.41701918244262021"/>
          <c:h val="8.7228691936245412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paid cloud computing services by size class, </a:t>
            </a:r>
          </a:p>
          <a:p>
            <a:pPr algn="l">
              <a:defRPr sz="1800" b="1"/>
            </a:pPr>
            <a:r>
              <a:rPr lang="en-US"/>
              <a:t>EU,</a:t>
            </a:r>
            <a:r>
              <a:rPr lang="en-US" baseline="0"/>
              <a:t> </a:t>
            </a:r>
            <a:r>
              <a:rPr lang="en-US"/>
              <a:t>2023 and 2025</a:t>
            </a:r>
          </a:p>
          <a:p>
            <a:pPr algn="l">
              <a:defRPr sz="1800" b="1"/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title>
    <c:autoTitleDeleted val="0"/>
    <c:plotArea>
      <c:layout>
        <c:manualLayout>
          <c:xMode val="edge"/>
          <c:yMode val="edge"/>
          <c:x val="1.4666666666666666E-2"/>
          <c:y val="0.16084815636295824"/>
          <c:w val="0.97066666666666668"/>
          <c:h val="0.6730711148320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'Fig3'!$B$7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'Fig3'!$C$6:$D$6</c:f>
              <c:numCache>
                <c:formatCode>General</c:formatCode>
                <c:ptCount val="2"/>
                <c:pt idx="0">
                  <c:v>2023</c:v>
                </c:pt>
                <c:pt idx="1">
                  <c:v>2025</c:v>
                </c:pt>
              </c:numCache>
            </c:numRef>
          </c:cat>
          <c:val>
            <c:numRef>
              <c:f>'Fig3'!$C$7:$D$7</c:f>
              <c:numCache>
                <c:formatCode>0.00</c:formatCode>
                <c:ptCount val="2"/>
                <c:pt idx="0">
                  <c:v>45.32</c:v>
                </c:pt>
                <c:pt idx="1">
                  <c:v>52.74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8-4351-8461-9DADC25438FF}"/>
            </c:ext>
          </c:extLst>
        </c:ser>
        <c:ser>
          <c:idx val="1"/>
          <c:order val="1"/>
          <c:tx>
            <c:strRef>
              <c:f>'Fig3'!$B$8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'Fig3'!$C$6:$D$6</c:f>
              <c:numCache>
                <c:formatCode>General</c:formatCode>
                <c:ptCount val="2"/>
                <c:pt idx="0">
                  <c:v>2023</c:v>
                </c:pt>
                <c:pt idx="1">
                  <c:v>2025</c:v>
                </c:pt>
              </c:numCache>
            </c:numRef>
          </c:cat>
          <c:val>
            <c:numRef>
              <c:f>'Fig3'!$C$8:$D$8</c:f>
              <c:numCache>
                <c:formatCode>0.00</c:formatCode>
                <c:ptCount val="2"/>
                <c:pt idx="0">
                  <c:v>41.82</c:v>
                </c:pt>
                <c:pt idx="1">
                  <c:v>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8-4351-8461-9DADC25438FF}"/>
            </c:ext>
          </c:extLst>
        </c:ser>
        <c:ser>
          <c:idx val="2"/>
          <c:order val="2"/>
          <c:tx>
            <c:strRef>
              <c:f>'Fig3'!$B$9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'Fig3'!$C$6:$D$6</c:f>
              <c:numCache>
                <c:formatCode>General</c:formatCode>
                <c:ptCount val="2"/>
                <c:pt idx="0">
                  <c:v>2023</c:v>
                </c:pt>
                <c:pt idx="1">
                  <c:v>2025</c:v>
                </c:pt>
              </c:numCache>
            </c:numRef>
          </c:cat>
          <c:val>
            <c:numRef>
              <c:f>'Fig3'!$C$9:$D$9</c:f>
              <c:numCache>
                <c:formatCode>0.00</c:formatCode>
                <c:ptCount val="2"/>
                <c:pt idx="0">
                  <c:v>59.09</c:v>
                </c:pt>
                <c:pt idx="1">
                  <c:v>66.78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8-4351-8461-9DADC25438FF}"/>
            </c:ext>
          </c:extLst>
        </c:ser>
        <c:ser>
          <c:idx val="3"/>
          <c:order val="3"/>
          <c:tx>
            <c:strRef>
              <c:f>'Fig3'!$B$10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'Fig3'!$C$6:$D$6</c:f>
              <c:numCache>
                <c:formatCode>General</c:formatCode>
                <c:ptCount val="2"/>
                <c:pt idx="0">
                  <c:v>2023</c:v>
                </c:pt>
                <c:pt idx="1">
                  <c:v>2025</c:v>
                </c:pt>
              </c:numCache>
            </c:numRef>
          </c:cat>
          <c:val>
            <c:numRef>
              <c:f>'Fig3'!$C$10:$D$10</c:f>
              <c:numCache>
                <c:formatCode>0.00</c:formatCode>
                <c:ptCount val="2"/>
                <c:pt idx="0">
                  <c:v>77.77</c:v>
                </c:pt>
                <c:pt idx="1">
                  <c:v>84.67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38-4351-8461-9DADC2543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704545839"/>
        <c:axId val="1550017775"/>
      </c:barChart>
      <c:catAx>
        <c:axId val="170454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550017775"/>
        <c:crosses val="autoZero"/>
        <c:auto val="1"/>
        <c:lblAlgn val="ctr"/>
        <c:lblOffset val="100"/>
        <c:tickMarkSkip val="1"/>
        <c:noMultiLvlLbl val="0"/>
      </c:catAx>
      <c:valAx>
        <c:axId val="155001777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7045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35359580052492"/>
          <c:y val="0.85609132282396083"/>
          <c:w val="0.71329270341207351"/>
          <c:h val="3.885330656392717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paid cloud computing services by type of cloud service, EU, 2023 and 2025</a:t>
            </a:r>
          </a:p>
          <a:p>
            <a:pPr algn="l">
              <a:defRPr sz="1800" b="1"/>
            </a:pPr>
            <a:r>
              <a:rPr lang="en-US" sz="1600" b="0"/>
              <a:t>(% of enterprises using paid cloud services)</a:t>
            </a:r>
          </a:p>
        </c:rich>
      </c:tx>
      <c:layout>
        <c:manualLayout>
          <c:xMode val="edge"/>
          <c:yMode val="edge"/>
          <c:x val="5.3333333333333332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title>
    <c:autoTitleDeleted val="0"/>
    <c:plotArea>
      <c:layout>
        <c:manualLayout>
          <c:xMode val="edge"/>
          <c:yMode val="edge"/>
          <c:x val="1.4666666666666666E-2"/>
          <c:y val="0.16084815636295824"/>
          <c:w val="0.97066666666666668"/>
          <c:h val="0.6730711148320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'Fig4'!$D$5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'Fig4'!$B$6:$B$15</c:f>
              <c:strCache>
                <c:ptCount val="10"/>
                <c:pt idx="0">
                  <c:v>E-mail</c:v>
                </c:pt>
                <c:pt idx="1">
                  <c:v>Office software</c:v>
                </c:pt>
                <c:pt idx="2">
                  <c:v>Storage of files</c:v>
                </c:pt>
                <c:pt idx="3">
                  <c:v>Security software applications</c:v>
                </c:pt>
                <c:pt idx="4">
                  <c:v>Financial or accounting software applications</c:v>
                </c:pt>
                <c:pt idx="5">
                  <c:v>Hosting the enterprise's database(s)</c:v>
                </c:pt>
                <c:pt idx="6">
                  <c:v>ERP software applications</c:v>
                </c:pt>
                <c:pt idx="7">
                  <c:v>Computing power for enterprise's own software</c:v>
                </c:pt>
                <c:pt idx="8">
                  <c:v>CRM software applications</c:v>
                </c:pt>
                <c:pt idx="9">
                  <c:v>Platform for application development, testing or deployment</c:v>
                </c:pt>
              </c:strCache>
            </c:strRef>
          </c:cat>
          <c:val>
            <c:numRef>
              <c:f>'Fig4'!$D$6:$D$15</c:f>
              <c:numCache>
                <c:formatCode>0.00</c:formatCode>
                <c:ptCount val="10"/>
                <c:pt idx="0">
                  <c:v>82.73</c:v>
                </c:pt>
                <c:pt idx="1">
                  <c:v>66.27</c:v>
                </c:pt>
                <c:pt idx="2">
                  <c:v>68.010000000000005</c:v>
                </c:pt>
                <c:pt idx="3">
                  <c:v>61.03</c:v>
                </c:pt>
                <c:pt idx="4">
                  <c:v>51.64</c:v>
                </c:pt>
                <c:pt idx="5">
                  <c:v>43.06</c:v>
                </c:pt>
                <c:pt idx="6">
                  <c:v>25.89</c:v>
                </c:pt>
                <c:pt idx="7">
                  <c:v>25.42</c:v>
                </c:pt>
                <c:pt idx="8">
                  <c:v>25.03</c:v>
                </c:pt>
                <c:pt idx="9">
                  <c:v>26.17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5-4748-AC8F-0D1C6859D8AD}"/>
            </c:ext>
          </c:extLst>
        </c:ser>
        <c:ser>
          <c:idx val="1"/>
          <c:order val="1"/>
          <c:tx>
            <c:strRef>
              <c:f>'Fig4'!$E$5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'Fig4'!$B$6:$B$15</c:f>
              <c:strCache>
                <c:ptCount val="10"/>
                <c:pt idx="0">
                  <c:v>E-mail</c:v>
                </c:pt>
                <c:pt idx="1">
                  <c:v>Office software</c:v>
                </c:pt>
                <c:pt idx="2">
                  <c:v>Storage of files</c:v>
                </c:pt>
                <c:pt idx="3">
                  <c:v>Security software applications</c:v>
                </c:pt>
                <c:pt idx="4">
                  <c:v>Financial or accounting software applications</c:v>
                </c:pt>
                <c:pt idx="5">
                  <c:v>Hosting the enterprise's database(s)</c:v>
                </c:pt>
                <c:pt idx="6">
                  <c:v>ERP software applications</c:v>
                </c:pt>
                <c:pt idx="7">
                  <c:v>Computing power for enterprise's own software</c:v>
                </c:pt>
                <c:pt idx="8">
                  <c:v>CRM software applications</c:v>
                </c:pt>
                <c:pt idx="9">
                  <c:v>Platform for application development, testing or deployment</c:v>
                </c:pt>
              </c:strCache>
            </c:strRef>
          </c:cat>
          <c:val>
            <c:numRef>
              <c:f>'Fig4'!$E$6:$E$15</c:f>
              <c:numCache>
                <c:formatCode>0.00</c:formatCode>
                <c:ptCount val="10"/>
                <c:pt idx="0">
                  <c:v>85.15</c:v>
                </c:pt>
                <c:pt idx="1">
                  <c:v>71.69</c:v>
                </c:pt>
                <c:pt idx="2">
                  <c:v>71.53</c:v>
                </c:pt>
                <c:pt idx="3">
                  <c:v>65.489999999999995</c:v>
                </c:pt>
                <c:pt idx="4">
                  <c:v>58.16</c:v>
                </c:pt>
                <c:pt idx="5">
                  <c:v>45.52</c:v>
                </c:pt>
                <c:pt idx="6">
                  <c:v>30.12</c:v>
                </c:pt>
                <c:pt idx="7">
                  <c:v>28.18</c:v>
                </c:pt>
                <c:pt idx="8">
                  <c:v>27.91</c:v>
                </c:pt>
                <c:pt idx="9">
                  <c:v>26.08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5-4748-AC8F-0D1C6859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708832271"/>
        <c:axId val="1708453119"/>
      </c:barChart>
      <c:catAx>
        <c:axId val="1708832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708453119"/>
        <c:crosses val="autoZero"/>
        <c:auto val="1"/>
        <c:lblAlgn val="ctr"/>
        <c:lblOffset val="100"/>
        <c:tickMarkSkip val="1"/>
        <c:noMultiLvlLbl val="0"/>
      </c:catAx>
      <c:valAx>
        <c:axId val="170845311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70883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96923884514438"/>
          <c:y val="0.85609132282396083"/>
          <c:w val="0.12406141732283464"/>
          <c:h val="3.885330656392717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Types of cloud computing services purchased by service model and size class, EU, 2025</a:t>
            </a:r>
          </a:p>
          <a:p>
            <a:pPr algn="l">
              <a:defRPr sz="1800" b="1"/>
            </a:pPr>
            <a:r>
              <a:rPr lang="en-US" sz="1600" b="0"/>
              <a:t>(% of enterprises using paid cloud services)</a:t>
            </a:r>
          </a:p>
        </c:rich>
      </c:tx>
      <c:layout>
        <c:manualLayout>
          <c:xMode val="edge"/>
          <c:yMode val="edge"/>
          <c:x val="4.0000000000000001E-3"/>
          <c:y val="6.046923171539783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5.7135748031496063E-2"/>
          <c:y val="0.16226926266421721"/>
          <c:w val="0.92819758530183727"/>
          <c:h val="0.59917057164056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'Fig5'!$B$7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'Fig5'!$C$5:$E$5</c:f>
              <c:strCache>
                <c:ptCount val="3"/>
                <c:pt idx="0">
                  <c:v>Use of cloud Infrastructure as a Service (IaaS)</c:v>
                </c:pt>
                <c:pt idx="1">
                  <c:v>Use of cloud Platform as a Service 
(PaaS)</c:v>
                </c:pt>
                <c:pt idx="2">
                  <c:v>Use of cloud Software as a Service   
(SaaS)</c:v>
                </c:pt>
              </c:strCache>
            </c:strRef>
          </c:cat>
          <c:val>
            <c:numRef>
              <c:f>'Fig5'!$C$7:$E$7</c:f>
              <c:numCache>
                <c:formatCode>0.00</c:formatCode>
                <c:ptCount val="3"/>
                <c:pt idx="0">
                  <c:v>77.25</c:v>
                </c:pt>
                <c:pt idx="1">
                  <c:v>26.08</c:v>
                </c:pt>
                <c:pt idx="2">
                  <c:v>96.44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5-4AC8-9BEA-95D5EC72BE32}"/>
            </c:ext>
          </c:extLst>
        </c:ser>
        <c:ser>
          <c:idx val="1"/>
          <c:order val="1"/>
          <c:tx>
            <c:strRef>
              <c:f>'Fig5'!$B$8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'Fig5'!$C$5:$E$5</c:f>
              <c:strCache>
                <c:ptCount val="3"/>
                <c:pt idx="0">
                  <c:v>Use of cloud Infrastructure as a Service (IaaS)</c:v>
                </c:pt>
                <c:pt idx="1">
                  <c:v>Use of cloud Platform as a Service 
(PaaS)</c:v>
                </c:pt>
                <c:pt idx="2">
                  <c:v>Use of cloud Software as a Service   
(SaaS)</c:v>
                </c:pt>
              </c:strCache>
            </c:strRef>
          </c:cat>
          <c:val>
            <c:numRef>
              <c:f>'Fig5'!$C$8:$E$8</c:f>
              <c:numCache>
                <c:formatCode>0.00</c:formatCode>
                <c:ptCount val="3"/>
                <c:pt idx="0">
                  <c:v>75.819999999999993</c:v>
                </c:pt>
                <c:pt idx="1">
                  <c:v>22.59</c:v>
                </c:pt>
                <c:pt idx="2">
                  <c:v>96.26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5-4AC8-9BEA-95D5EC72BE32}"/>
            </c:ext>
          </c:extLst>
        </c:ser>
        <c:ser>
          <c:idx val="2"/>
          <c:order val="2"/>
          <c:tx>
            <c:strRef>
              <c:f>'Fig5'!$B$9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'Fig5'!$C$5:$E$5</c:f>
              <c:strCache>
                <c:ptCount val="3"/>
                <c:pt idx="0">
                  <c:v>Use of cloud Infrastructure as a Service (IaaS)</c:v>
                </c:pt>
                <c:pt idx="1">
                  <c:v>Use of cloud Platform as a Service 
(PaaS)</c:v>
                </c:pt>
                <c:pt idx="2">
                  <c:v>Use of cloud Software as a Service   
(SaaS)</c:v>
                </c:pt>
              </c:strCache>
            </c:strRef>
          </c:cat>
          <c:val>
            <c:numRef>
              <c:f>'Fig5'!$C$9:$E$9</c:f>
              <c:numCache>
                <c:formatCode>0.00</c:formatCode>
                <c:ptCount val="3"/>
                <c:pt idx="0">
                  <c:v>80.83</c:v>
                </c:pt>
                <c:pt idx="1">
                  <c:v>34.5</c:v>
                </c:pt>
                <c:pt idx="2">
                  <c:v>96.82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5-4AC8-9BEA-95D5EC72BE32}"/>
            </c:ext>
          </c:extLst>
        </c:ser>
        <c:ser>
          <c:idx val="3"/>
          <c:order val="3"/>
          <c:tx>
            <c:strRef>
              <c:f>'Fig5'!$B$10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'Fig5'!$C$5:$E$5</c:f>
              <c:strCache>
                <c:ptCount val="3"/>
                <c:pt idx="0">
                  <c:v>Use of cloud Infrastructure as a Service (IaaS)</c:v>
                </c:pt>
                <c:pt idx="1">
                  <c:v>Use of cloud Platform as a Service 
(PaaS)</c:v>
                </c:pt>
                <c:pt idx="2">
                  <c:v>Use of cloud Software as a Service   
(SaaS)</c:v>
                </c:pt>
              </c:strCache>
            </c:strRef>
          </c:cat>
          <c:val>
            <c:numRef>
              <c:f>'Fig5'!$C$10:$E$10</c:f>
              <c:numCache>
                <c:formatCode>0.00</c:formatCode>
                <c:ptCount val="3"/>
                <c:pt idx="0">
                  <c:v>87.67</c:v>
                </c:pt>
                <c:pt idx="1">
                  <c:v>52.86</c:v>
                </c:pt>
                <c:pt idx="2">
                  <c:v>97.94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5-4AC8-9BEA-95D5EC72B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709011007"/>
        <c:axId val="1708452639"/>
      </c:barChart>
      <c:catAx>
        <c:axId val="1709011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708452639"/>
        <c:crosses val="autoZero"/>
        <c:auto val="1"/>
        <c:lblAlgn val="ctr"/>
        <c:lblOffset val="100"/>
        <c:tickMarkSkip val="1"/>
        <c:noMultiLvlLbl val="0"/>
      </c:catAx>
      <c:valAx>
        <c:axId val="1708452639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709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35359580052492"/>
          <c:y val="0.85609132282396083"/>
          <c:w val="0.71329270341207351"/>
          <c:h val="3.885330656392717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Enterprises using paid cloud computing services and high level dependence on the cloud, 2025</a:t>
            </a:r>
          </a:p>
          <a:p>
            <a:pPr algn="l">
              <a:defRPr sz="1800" b="1"/>
            </a:pPr>
            <a:r>
              <a:rPr lang="en-US" sz="1600" b="0"/>
              <a:t>(% of enterprises)</a:t>
            </a:r>
          </a:p>
        </c:rich>
      </c:tx>
      <c:layout>
        <c:manualLayout>
          <c:xMode val="edge"/>
          <c:yMode val="edge"/>
          <c:x val="5.3333333333333332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6084815636295824"/>
          <c:w val="0.97066666666666668"/>
          <c:h val="0.6730711148320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'Fig6'!$C$5</c:f>
              <c:strCache>
                <c:ptCount val="1"/>
                <c:pt idx="0">
                  <c:v>Buy cloud computing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'Fig6'!$B$7:$B$42</c:f>
              <c:strCache>
                <c:ptCount val="36"/>
                <c:pt idx="0">
                  <c:v>EU</c:v>
                </c:pt>
                <c:pt idx="2">
                  <c:v>Finland</c:v>
                </c:pt>
                <c:pt idx="3">
                  <c:v>Italy</c:v>
                </c:pt>
                <c:pt idx="4">
                  <c:v>Malta</c:v>
                </c:pt>
                <c:pt idx="5">
                  <c:v>Ireland</c:v>
                </c:pt>
                <c:pt idx="6">
                  <c:v>Sweden</c:v>
                </c:pt>
                <c:pt idx="7">
                  <c:v>Denmark</c:v>
                </c:pt>
                <c:pt idx="8">
                  <c:v>Netherlands</c:v>
                </c:pt>
                <c:pt idx="9">
                  <c:v>Belgium</c:v>
                </c:pt>
                <c:pt idx="10">
                  <c:v>Estonia</c:v>
                </c:pt>
                <c:pt idx="11">
                  <c:v>Lithuania</c:v>
                </c:pt>
                <c:pt idx="12">
                  <c:v>Czechia</c:v>
                </c:pt>
                <c:pt idx="13">
                  <c:v>Poland</c:v>
                </c:pt>
                <c:pt idx="14">
                  <c:v>Germany</c:v>
                </c:pt>
                <c:pt idx="15">
                  <c:v>Austria</c:v>
                </c:pt>
                <c:pt idx="16">
                  <c:v>Cyprus</c:v>
                </c:pt>
                <c:pt idx="17">
                  <c:v>Slovenia</c:v>
                </c:pt>
                <c:pt idx="18">
                  <c:v>Hungary</c:v>
                </c:pt>
                <c:pt idx="19">
                  <c:v>Luxembourg</c:v>
                </c:pt>
                <c:pt idx="20">
                  <c:v>Croatia</c:v>
                </c:pt>
                <c:pt idx="21">
                  <c:v>Latvia</c:v>
                </c:pt>
                <c:pt idx="22">
                  <c:v>Spain</c:v>
                </c:pt>
                <c:pt idx="23">
                  <c:v>France</c:v>
                </c:pt>
                <c:pt idx="24">
                  <c:v>Portugal</c:v>
                </c:pt>
                <c:pt idx="25">
                  <c:v>Slovakia</c:v>
                </c:pt>
                <c:pt idx="26">
                  <c:v>Romania</c:v>
                </c:pt>
                <c:pt idx="27">
                  <c:v>Greece</c:v>
                </c:pt>
                <c:pt idx="28">
                  <c:v>Bulgaria</c:v>
                </c:pt>
                <c:pt idx="30">
                  <c:v>Norway</c:v>
                </c:pt>
                <c:pt idx="32">
                  <c:v>Serbia</c:v>
                </c:pt>
                <c:pt idx="33">
                  <c:v>Montenegro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'Fig6'!$C$7:$C$42</c:f>
              <c:numCache>
                <c:formatCode>_(* #,##0_);_(* \(#,##0\);_(* "-"??_);_(@_)</c:formatCode>
                <c:ptCount val="36"/>
                <c:pt idx="0" formatCode="0.00">
                  <c:v>52.74</c:v>
                </c:pt>
                <c:pt idx="2" formatCode="0.00">
                  <c:v>79.209999999999994</c:v>
                </c:pt>
                <c:pt idx="3" formatCode="0.00">
                  <c:v>75.599999999999994</c:v>
                </c:pt>
                <c:pt idx="4" formatCode="0.00">
                  <c:v>74.87</c:v>
                </c:pt>
                <c:pt idx="5" formatCode="0.00">
                  <c:v>73.040000000000006</c:v>
                </c:pt>
                <c:pt idx="6" formatCode="0.00">
                  <c:v>72</c:v>
                </c:pt>
                <c:pt idx="7" formatCode="0.00">
                  <c:v>68.88</c:v>
                </c:pt>
                <c:pt idx="8" formatCode="0.00">
                  <c:v>68.489999999999995</c:v>
                </c:pt>
                <c:pt idx="9" formatCode="0.00">
                  <c:v>61.62</c:v>
                </c:pt>
                <c:pt idx="10" formatCode="0.00">
                  <c:v>60.66</c:v>
                </c:pt>
                <c:pt idx="11" formatCode="0.00">
                  <c:v>58.06</c:v>
                </c:pt>
                <c:pt idx="12" formatCode="0.00">
                  <c:v>54.9</c:v>
                </c:pt>
                <c:pt idx="13" formatCode="0.00">
                  <c:v>54.71</c:v>
                </c:pt>
                <c:pt idx="14" formatCode="0.00">
                  <c:v>53.91</c:v>
                </c:pt>
                <c:pt idx="15" formatCode="0.00">
                  <c:v>52.08</c:v>
                </c:pt>
                <c:pt idx="16" formatCode="0.00">
                  <c:v>51.38</c:v>
                </c:pt>
                <c:pt idx="17" formatCode="0.00">
                  <c:v>48.04</c:v>
                </c:pt>
                <c:pt idx="18" formatCode="0.00">
                  <c:v>47.96</c:v>
                </c:pt>
                <c:pt idx="19" formatCode="0.00">
                  <c:v>47.7</c:v>
                </c:pt>
                <c:pt idx="20" formatCode="0.00">
                  <c:v>46.61</c:v>
                </c:pt>
                <c:pt idx="21" formatCode="0.00">
                  <c:v>44.08</c:v>
                </c:pt>
                <c:pt idx="22" formatCode="0.00">
                  <c:v>41.65</c:v>
                </c:pt>
                <c:pt idx="23" formatCode="0.00">
                  <c:v>40.409999999999997</c:v>
                </c:pt>
                <c:pt idx="24" formatCode="0.00">
                  <c:v>38.71</c:v>
                </c:pt>
                <c:pt idx="25" formatCode="0.00">
                  <c:v>36.44</c:v>
                </c:pt>
                <c:pt idx="26" formatCode="0.00">
                  <c:v>24.94</c:v>
                </c:pt>
                <c:pt idx="27" formatCode="0.00">
                  <c:v>24.33</c:v>
                </c:pt>
                <c:pt idx="28" formatCode="0.00">
                  <c:v>17.829999999999998</c:v>
                </c:pt>
                <c:pt idx="30" formatCode="0.00">
                  <c:v>66.540000000000006</c:v>
                </c:pt>
                <c:pt idx="32" formatCode="0.00">
                  <c:v>41.51</c:v>
                </c:pt>
                <c:pt idx="33" formatCode="0.00">
                  <c:v>33.36</c:v>
                </c:pt>
                <c:pt idx="34" formatCode="0.00">
                  <c:v>28.99</c:v>
                </c:pt>
                <c:pt idx="35" formatCode="0.00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8-4675-A7E6-60DA2BF7ECBE}"/>
            </c:ext>
          </c:extLst>
        </c:ser>
        <c:ser>
          <c:idx val="1"/>
          <c:order val="1"/>
          <c:tx>
            <c:strRef>
              <c:f>'Fig6'!$D$5</c:f>
              <c:strCache>
                <c:ptCount val="1"/>
                <c:pt idx="0">
                  <c:v>High level dependence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'Fig6'!$B$7:$B$42</c:f>
              <c:strCache>
                <c:ptCount val="36"/>
                <c:pt idx="0">
                  <c:v>EU</c:v>
                </c:pt>
                <c:pt idx="2">
                  <c:v>Finland</c:v>
                </c:pt>
                <c:pt idx="3">
                  <c:v>Italy</c:v>
                </c:pt>
                <c:pt idx="4">
                  <c:v>Malta</c:v>
                </c:pt>
                <c:pt idx="5">
                  <c:v>Ireland</c:v>
                </c:pt>
                <c:pt idx="6">
                  <c:v>Sweden</c:v>
                </c:pt>
                <c:pt idx="7">
                  <c:v>Denmark</c:v>
                </c:pt>
                <c:pt idx="8">
                  <c:v>Netherlands</c:v>
                </c:pt>
                <c:pt idx="9">
                  <c:v>Belgium</c:v>
                </c:pt>
                <c:pt idx="10">
                  <c:v>Estonia</c:v>
                </c:pt>
                <c:pt idx="11">
                  <c:v>Lithuania</c:v>
                </c:pt>
                <c:pt idx="12">
                  <c:v>Czechia</c:v>
                </c:pt>
                <c:pt idx="13">
                  <c:v>Poland</c:v>
                </c:pt>
                <c:pt idx="14">
                  <c:v>Germany</c:v>
                </c:pt>
                <c:pt idx="15">
                  <c:v>Austria</c:v>
                </c:pt>
                <c:pt idx="16">
                  <c:v>Cyprus</c:v>
                </c:pt>
                <c:pt idx="17">
                  <c:v>Slovenia</c:v>
                </c:pt>
                <c:pt idx="18">
                  <c:v>Hungary</c:v>
                </c:pt>
                <c:pt idx="19">
                  <c:v>Luxembourg</c:v>
                </c:pt>
                <c:pt idx="20">
                  <c:v>Croatia</c:v>
                </c:pt>
                <c:pt idx="21">
                  <c:v>Latvia</c:v>
                </c:pt>
                <c:pt idx="22">
                  <c:v>Spain</c:v>
                </c:pt>
                <c:pt idx="23">
                  <c:v>France</c:v>
                </c:pt>
                <c:pt idx="24">
                  <c:v>Portugal</c:v>
                </c:pt>
                <c:pt idx="25">
                  <c:v>Slovakia</c:v>
                </c:pt>
                <c:pt idx="26">
                  <c:v>Romania</c:v>
                </c:pt>
                <c:pt idx="27">
                  <c:v>Greece</c:v>
                </c:pt>
                <c:pt idx="28">
                  <c:v>Bulgaria</c:v>
                </c:pt>
                <c:pt idx="30">
                  <c:v>Norway</c:v>
                </c:pt>
                <c:pt idx="32">
                  <c:v>Serbia</c:v>
                </c:pt>
                <c:pt idx="33">
                  <c:v>Montenegro</c:v>
                </c:pt>
                <c:pt idx="34">
                  <c:v>Bosnia and Herzegovina</c:v>
                </c:pt>
                <c:pt idx="35">
                  <c:v>Türkiye</c:v>
                </c:pt>
              </c:strCache>
            </c:strRef>
          </c:cat>
          <c:val>
            <c:numRef>
              <c:f>'Fig6'!$D$7:$D$42</c:f>
              <c:numCache>
                <c:formatCode>0</c:formatCode>
                <c:ptCount val="36"/>
                <c:pt idx="0" formatCode="0.00">
                  <c:v>40.89</c:v>
                </c:pt>
                <c:pt idx="2" formatCode="0.00">
                  <c:v>65.900000000000006</c:v>
                </c:pt>
                <c:pt idx="3" formatCode="0.00">
                  <c:v>61.9</c:v>
                </c:pt>
                <c:pt idx="4" formatCode="0.00">
                  <c:v>56.57</c:v>
                </c:pt>
                <c:pt idx="5" formatCode="0.00">
                  <c:v>46.92</c:v>
                </c:pt>
                <c:pt idx="6" formatCode="0.00">
                  <c:v>59.41</c:v>
                </c:pt>
                <c:pt idx="7" formatCode="0.00">
                  <c:v>64.98</c:v>
                </c:pt>
                <c:pt idx="8" formatCode="0.00">
                  <c:v>62</c:v>
                </c:pt>
                <c:pt idx="9" formatCode="0.00">
                  <c:v>53.39</c:v>
                </c:pt>
                <c:pt idx="10" formatCode="0.00">
                  <c:v>41.9</c:v>
                </c:pt>
                <c:pt idx="11" formatCode="0.00">
                  <c:v>51.16</c:v>
                </c:pt>
                <c:pt idx="12" formatCode="0.00">
                  <c:v>36.409999999999997</c:v>
                </c:pt>
                <c:pt idx="13" formatCode="0.00">
                  <c:v>40.15</c:v>
                </c:pt>
                <c:pt idx="14" formatCode="0.00">
                  <c:v>38.26</c:v>
                </c:pt>
                <c:pt idx="15" formatCode="0.00">
                  <c:v>35.86</c:v>
                </c:pt>
                <c:pt idx="16" formatCode="0.00">
                  <c:v>46.64</c:v>
                </c:pt>
                <c:pt idx="17" formatCode="0.00">
                  <c:v>37.56</c:v>
                </c:pt>
                <c:pt idx="18" formatCode="0.00">
                  <c:v>36.479999999999997</c:v>
                </c:pt>
                <c:pt idx="19" formatCode="0.00">
                  <c:v>40.770000000000003</c:v>
                </c:pt>
                <c:pt idx="20" formatCode="0.00">
                  <c:v>41.38</c:v>
                </c:pt>
                <c:pt idx="21" formatCode="0.00">
                  <c:v>26.12</c:v>
                </c:pt>
                <c:pt idx="22" formatCode="0.00">
                  <c:v>33.700000000000003</c:v>
                </c:pt>
                <c:pt idx="23" formatCode="0.00">
                  <c:v>30.89</c:v>
                </c:pt>
                <c:pt idx="24" formatCode="0.00">
                  <c:v>31.31</c:v>
                </c:pt>
                <c:pt idx="25" formatCode="0.00">
                  <c:v>30.68</c:v>
                </c:pt>
                <c:pt idx="26" formatCode="0.00">
                  <c:v>18.86</c:v>
                </c:pt>
                <c:pt idx="27" formatCode="0.00">
                  <c:v>18.53</c:v>
                </c:pt>
                <c:pt idx="28" formatCode="0.00">
                  <c:v>13.91</c:v>
                </c:pt>
                <c:pt idx="30" formatCode="0.00">
                  <c:v>59.19</c:v>
                </c:pt>
                <c:pt idx="32" formatCode="0.00">
                  <c:v>23.26</c:v>
                </c:pt>
                <c:pt idx="33" formatCode="0.00">
                  <c:v>19.559999999999999</c:v>
                </c:pt>
                <c:pt idx="34" formatCode="0.00">
                  <c:v>20.29</c:v>
                </c:pt>
                <c:pt idx="35" formatCode="0.00">
                  <c:v>13.41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8-4675-A7E6-60DA2BF7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518531055"/>
        <c:axId val="518534895"/>
      </c:barChart>
      <c:catAx>
        <c:axId val="518531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8534895"/>
        <c:crosses val="autoZero"/>
        <c:auto val="1"/>
        <c:lblAlgn val="ctr"/>
        <c:lblOffset val="100"/>
        <c:tickMarkSkip val="1"/>
        <c:noMultiLvlLbl val="0"/>
      </c:catAx>
      <c:valAx>
        <c:axId val="51853489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853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51674540682414"/>
          <c:y val="0.85609132282396083"/>
          <c:w val="0.44296640419947508"/>
          <c:h val="3.885330656392717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800" b="1" i="0" u="none" strike="noStrike" baseline="0">
                <a:effectLst/>
              </a:rPr>
              <a:t>Level of sophistication of purchased cloud computing services </a:t>
            </a:r>
            <a:r>
              <a:rPr lang="en-US"/>
              <a:t>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by economic activity, EU, 2025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enterprises using paid cloud services)</a:t>
            </a:r>
          </a:p>
        </c:rich>
      </c:tx>
      <c:layout>
        <c:manualLayout>
          <c:xMode val="edge"/>
          <c:yMode val="edge"/>
          <c:x val="4.1978980522750734E-3"/>
          <c:y val="3.58056975515343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0183535312667595"/>
          <c:y val="0.18583794595463834"/>
          <c:w val="0.56425833164169981"/>
          <c:h val="0.550565292885042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'Fig7'!$C$5</c:f>
              <c:strCache>
                <c:ptCount val="1"/>
                <c:pt idx="0">
                  <c:v>Basic CC services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'Fig7'!$B$6:$B$15</c:f>
              <c:strCache>
                <c:ptCount val="10"/>
                <c:pt idx="0">
                  <c:v>Information and communication</c:v>
                </c:pt>
                <c:pt idx="1">
                  <c:v>Professional, scientific and technical activities</c:v>
                </c:pt>
                <c:pt idx="2">
                  <c:v>Real estate activities</c:v>
                </c:pt>
                <c:pt idx="3">
                  <c:v>Wholesale and retail trade; repair of motor vehicles and motorcycles</c:v>
                </c:pt>
                <c:pt idx="4">
                  <c:v>Electricity, gas, steam and air conditioning supply; water supply; sewerage, waste management and remediation activities</c:v>
                </c:pt>
                <c:pt idx="5">
                  <c:v>Administrative and support service activities</c:v>
                </c:pt>
                <c:pt idx="6">
                  <c:v>Manufacturing</c:v>
                </c:pt>
                <c:pt idx="7">
                  <c:v>Transportation and storage</c:v>
                </c:pt>
                <c:pt idx="8">
                  <c:v>Construction</c:v>
                </c:pt>
                <c:pt idx="9">
                  <c:v>Accommodation and food service activities</c:v>
                </c:pt>
              </c:strCache>
            </c:strRef>
          </c:cat>
          <c:val>
            <c:numRef>
              <c:f>'Fig7'!$C$6:$C$15</c:f>
              <c:numCache>
                <c:formatCode>0.00</c:formatCode>
                <c:ptCount val="10"/>
                <c:pt idx="0">
                  <c:v>5.23</c:v>
                </c:pt>
                <c:pt idx="1">
                  <c:v>8.7100000000000009</c:v>
                </c:pt>
                <c:pt idx="2">
                  <c:v>9.3000000000000007</c:v>
                </c:pt>
                <c:pt idx="3">
                  <c:v>10.64</c:v>
                </c:pt>
                <c:pt idx="4">
                  <c:v>11.65</c:v>
                </c:pt>
                <c:pt idx="5">
                  <c:v>8.8800000000000008</c:v>
                </c:pt>
                <c:pt idx="6">
                  <c:v>12.12</c:v>
                </c:pt>
                <c:pt idx="7">
                  <c:v>11.48</c:v>
                </c:pt>
                <c:pt idx="8">
                  <c:v>11.36</c:v>
                </c:pt>
                <c:pt idx="9">
                  <c:v>12.66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B-469A-801A-DB27424770A5}"/>
            </c:ext>
          </c:extLst>
        </c:ser>
        <c:ser>
          <c:idx val="1"/>
          <c:order val="2"/>
          <c:tx>
            <c:strRef>
              <c:f>'Fig7'!$D$5</c:f>
              <c:strCache>
                <c:ptCount val="1"/>
                <c:pt idx="0">
                  <c:v>Intermediate CC services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'Fig7'!$B$6:$B$15</c:f>
              <c:strCache>
                <c:ptCount val="10"/>
                <c:pt idx="0">
                  <c:v>Information and communication</c:v>
                </c:pt>
                <c:pt idx="1">
                  <c:v>Professional, scientific and technical activities</c:v>
                </c:pt>
                <c:pt idx="2">
                  <c:v>Real estate activities</c:v>
                </c:pt>
                <c:pt idx="3">
                  <c:v>Wholesale and retail trade; repair of motor vehicles and motorcycles</c:v>
                </c:pt>
                <c:pt idx="4">
                  <c:v>Electricity, gas, steam and air conditioning supply; water supply; sewerage, waste management and remediation activities</c:v>
                </c:pt>
                <c:pt idx="5">
                  <c:v>Administrative and support service activities</c:v>
                </c:pt>
                <c:pt idx="6">
                  <c:v>Manufacturing</c:v>
                </c:pt>
                <c:pt idx="7">
                  <c:v>Transportation and storage</c:v>
                </c:pt>
                <c:pt idx="8">
                  <c:v>Construction</c:v>
                </c:pt>
                <c:pt idx="9">
                  <c:v>Accommodation and food service activities</c:v>
                </c:pt>
              </c:strCache>
            </c:strRef>
          </c:cat>
          <c:val>
            <c:numRef>
              <c:f>'Fig7'!$D$6:$D$15</c:f>
              <c:numCache>
                <c:formatCode>0.00</c:formatCode>
                <c:ptCount val="10"/>
                <c:pt idx="0">
                  <c:v>5.16</c:v>
                </c:pt>
                <c:pt idx="1">
                  <c:v>9.3800000000000008</c:v>
                </c:pt>
                <c:pt idx="2">
                  <c:v>10.11</c:v>
                </c:pt>
                <c:pt idx="3">
                  <c:v>9.26</c:v>
                </c:pt>
                <c:pt idx="4">
                  <c:v>8.8800000000000008</c:v>
                </c:pt>
                <c:pt idx="5">
                  <c:v>13.04</c:v>
                </c:pt>
                <c:pt idx="6">
                  <c:v>10.18</c:v>
                </c:pt>
                <c:pt idx="7">
                  <c:v>12.55</c:v>
                </c:pt>
                <c:pt idx="8">
                  <c:v>13.15</c:v>
                </c:pt>
                <c:pt idx="9">
                  <c:v>16.12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B-469A-801A-DB27424770A5}"/>
            </c:ext>
          </c:extLst>
        </c:ser>
        <c:ser>
          <c:idx val="4"/>
          <c:order val="4"/>
          <c:tx>
            <c:strRef>
              <c:f>'Fig7'!$E$5</c:f>
              <c:strCache>
                <c:ptCount val="1"/>
                <c:pt idx="0">
                  <c:v>Sophisticated CC services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strRef>
              <c:f>'Fig7'!$B$6:$B$15</c:f>
              <c:strCache>
                <c:ptCount val="10"/>
                <c:pt idx="0">
                  <c:v>Information and communication</c:v>
                </c:pt>
                <c:pt idx="1">
                  <c:v>Professional, scientific and technical activities</c:v>
                </c:pt>
                <c:pt idx="2">
                  <c:v>Real estate activities</c:v>
                </c:pt>
                <c:pt idx="3">
                  <c:v>Wholesale and retail trade; repair of motor vehicles and motorcycles</c:v>
                </c:pt>
                <c:pt idx="4">
                  <c:v>Electricity, gas, steam and air conditioning supply; water supply; sewerage, waste management and remediation activities</c:v>
                </c:pt>
                <c:pt idx="5">
                  <c:v>Administrative and support service activities</c:v>
                </c:pt>
                <c:pt idx="6">
                  <c:v>Manufacturing</c:v>
                </c:pt>
                <c:pt idx="7">
                  <c:v>Transportation and storage</c:v>
                </c:pt>
                <c:pt idx="8">
                  <c:v>Construction</c:v>
                </c:pt>
                <c:pt idx="9">
                  <c:v>Accommodation and food service activities</c:v>
                </c:pt>
              </c:strCache>
            </c:strRef>
          </c:cat>
          <c:val>
            <c:numRef>
              <c:f>'Fig7'!$E$6:$E$15</c:f>
              <c:numCache>
                <c:formatCode>0.00</c:formatCode>
                <c:ptCount val="10"/>
                <c:pt idx="0">
                  <c:v>88.86</c:v>
                </c:pt>
                <c:pt idx="1">
                  <c:v>81.03</c:v>
                </c:pt>
                <c:pt idx="2">
                  <c:v>79.3</c:v>
                </c:pt>
                <c:pt idx="3">
                  <c:v>78.86</c:v>
                </c:pt>
                <c:pt idx="4">
                  <c:v>78.62</c:v>
                </c:pt>
                <c:pt idx="5">
                  <c:v>77.14</c:v>
                </c:pt>
                <c:pt idx="6">
                  <c:v>76.8</c:v>
                </c:pt>
                <c:pt idx="7">
                  <c:v>75.19</c:v>
                </c:pt>
                <c:pt idx="8">
                  <c:v>74.099999999999994</c:v>
                </c:pt>
                <c:pt idx="9">
                  <c:v>69.13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1-42ED-9703-9D00047C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211797504"/>
        <c:axId val="211799040"/>
      </c:barChart>
      <c:scatterChart>
        <c:scatterStyle val="smoothMarker"/>
        <c:varyColors val="0"/>
        <c:ser>
          <c:idx val="3"/>
          <c:order val="1"/>
          <c:tx>
            <c:strRef>
              <c:f>'Fig7'!$F$5</c:f>
              <c:strCache>
                <c:ptCount val="1"/>
                <c:pt idx="0">
                  <c:v>Basic CC services - all activities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743308861397894E-3"/>
                  <c:y val="-1.9458885052817822E-2"/>
                </c:manualLayout>
              </c:layout>
              <c:tx>
                <c:rich>
                  <a:bodyPr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0" i="0" u="none" strike="noStrike" kern="1200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200" b="1">
                        <a:solidFill>
                          <a:schemeClr val="accent2"/>
                        </a:solidFill>
                      </a:rPr>
                      <a:t>EU</a:t>
                    </a:r>
                    <a:r>
                      <a:rPr lang="en-US" sz="1200" b="1" baseline="0">
                        <a:solidFill>
                          <a:schemeClr val="accent2"/>
                        </a:solidFill>
                      </a:rPr>
                      <a:t>-10.79%</a:t>
                    </a:r>
                    <a:endParaRPr lang="en-US" sz="1200" b="1">
                      <a:solidFill>
                        <a:schemeClr val="accent2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8BB-469A-801A-DB27424770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'Fig7'!$F$6:$F$16</c:f>
              <c:numCache>
                <c:formatCode>0.00</c:formatCode>
                <c:ptCount val="11"/>
                <c:pt idx="0">
                  <c:v>10.55</c:v>
                </c:pt>
                <c:pt idx="1">
                  <c:v>10.55</c:v>
                </c:pt>
                <c:pt idx="2">
                  <c:v>10.55</c:v>
                </c:pt>
                <c:pt idx="3">
                  <c:v>10.55</c:v>
                </c:pt>
                <c:pt idx="4">
                  <c:v>10.55</c:v>
                </c:pt>
                <c:pt idx="5">
                  <c:v>10.55</c:v>
                </c:pt>
                <c:pt idx="6">
                  <c:v>10.55</c:v>
                </c:pt>
                <c:pt idx="7">
                  <c:v>10.55</c:v>
                </c:pt>
                <c:pt idx="8">
                  <c:v>10.55</c:v>
                </c:pt>
                <c:pt idx="9">
                  <c:v>10.55</c:v>
                </c:pt>
                <c:pt idx="10" formatCode="General">
                  <c:v>10.55</c:v>
                </c:pt>
              </c:numCache>
            </c:numRef>
          </c:xVal>
          <c:yVal>
            <c:numRef>
              <c:f>'Fig7'!$I$6:$I$16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BB-469A-801A-DB27424770A5}"/>
            </c:ext>
          </c:extLst>
        </c:ser>
        <c:ser>
          <c:idx val="2"/>
          <c:order val="3"/>
          <c:tx>
            <c:strRef>
              <c:f>'Fig7'!$G$5</c:f>
              <c:strCache>
                <c:ptCount val="1"/>
                <c:pt idx="0">
                  <c:v>Intermediate CC services - all activities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959285237256398E-2"/>
                  <c:y val="-2.0631671135427583E-2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200" b="0" i="0" u="none" strike="noStrike" kern="1200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EU-10.55%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902189438552084E-2"/>
                      <c:h val="4.490856192851205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B8BB-469A-801A-DB27424770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'Fig7'!$G$6:$G$16</c:f>
              <c:numCache>
                <c:formatCode>0.00</c:formatCode>
                <c:ptCount val="11"/>
                <c:pt idx="0">
                  <c:v>10.79</c:v>
                </c:pt>
                <c:pt idx="1">
                  <c:v>10.79</c:v>
                </c:pt>
                <c:pt idx="2">
                  <c:v>10.79</c:v>
                </c:pt>
                <c:pt idx="3">
                  <c:v>10.79</c:v>
                </c:pt>
                <c:pt idx="4">
                  <c:v>10.79</c:v>
                </c:pt>
                <c:pt idx="5">
                  <c:v>10.79</c:v>
                </c:pt>
                <c:pt idx="6">
                  <c:v>10.79</c:v>
                </c:pt>
                <c:pt idx="7">
                  <c:v>10.79</c:v>
                </c:pt>
                <c:pt idx="8">
                  <c:v>10.79</c:v>
                </c:pt>
                <c:pt idx="9">
                  <c:v>10.79</c:v>
                </c:pt>
                <c:pt idx="10" formatCode="General">
                  <c:v>10.79</c:v>
                </c:pt>
              </c:numCache>
            </c:numRef>
          </c:xVal>
          <c:yVal>
            <c:numRef>
              <c:f>'Fig7'!$I$6:$I$16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BB-469A-801A-DB27424770A5}"/>
            </c:ext>
          </c:extLst>
        </c:ser>
        <c:ser>
          <c:idx val="5"/>
          <c:order val="5"/>
          <c:tx>
            <c:strRef>
              <c:f>'Fig7'!$H$5</c:f>
              <c:strCache>
                <c:ptCount val="1"/>
                <c:pt idx="0">
                  <c:v>Sophisticated CC services - all activities</c:v>
                </c:pt>
              </c:strCache>
            </c:strRef>
          </c:tx>
          <c:spPr>
            <a:ln>
              <a:solidFill>
                <a:schemeClr val="accent3"/>
              </a:solidFill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3625769677699667E-2"/>
                  <c:y val="-1.9516546246793446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3"/>
                        </a:solidFill>
                      </a:rPr>
                      <a:t>EU-77.53%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131-42ED-9703-9D00047CE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'Fig7'!$H$6:$H$16</c:f>
              <c:numCache>
                <c:formatCode>0.00</c:formatCode>
                <c:ptCount val="11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77.53</c:v>
                </c:pt>
                <c:pt idx="4">
                  <c:v>77.53</c:v>
                </c:pt>
                <c:pt idx="5">
                  <c:v>77.53</c:v>
                </c:pt>
                <c:pt idx="6">
                  <c:v>77.53</c:v>
                </c:pt>
                <c:pt idx="7">
                  <c:v>77.53</c:v>
                </c:pt>
                <c:pt idx="8">
                  <c:v>77.53</c:v>
                </c:pt>
                <c:pt idx="9">
                  <c:v>77.53</c:v>
                </c:pt>
                <c:pt idx="10" formatCode="General">
                  <c:v>77.53</c:v>
                </c:pt>
              </c:numCache>
            </c:numRef>
          </c:xVal>
          <c:yVal>
            <c:numRef>
              <c:f>'Fig7'!$I$6:$I$16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31-42ED-9703-9D00047C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93888"/>
        <c:axId val="212292352"/>
      </c:scatterChart>
      <c:catAx>
        <c:axId val="21179750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/>
          <a:lstStyle/>
          <a:p>
            <a:pPr>
              <a:defRPr/>
            </a:pPr>
            <a:endParaRPr lang="en-DE"/>
          </a:p>
        </c:txPr>
        <c:crossAx val="211799040"/>
        <c:crosses val="autoZero"/>
        <c:auto val="1"/>
        <c:lblAlgn val="ctr"/>
        <c:lblOffset val="100"/>
        <c:tickMarkSkip val="1"/>
        <c:noMultiLvlLbl val="0"/>
      </c:catAx>
      <c:valAx>
        <c:axId val="211799040"/>
        <c:scaling>
          <c:orientation val="minMax"/>
          <c:max val="90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tint val="75000"/>
                <a:shade val="95000"/>
                <a:satMod val="105000"/>
              </a:sysClr>
            </a:solidFill>
            <a:prstDash val="solid"/>
            <a:round/>
          </a:ln>
          <a:effectLst/>
        </c:spPr>
        <c:crossAx val="211797504"/>
        <c:crosses val="max"/>
        <c:crossBetween val="between"/>
        <c:majorUnit val="10"/>
      </c:valAx>
      <c:valAx>
        <c:axId val="212292352"/>
        <c:scaling>
          <c:orientation val="minMax"/>
          <c:max val="100"/>
        </c:scaling>
        <c:delete val="1"/>
        <c:axPos val="r"/>
        <c:numFmt formatCode="General" sourceLinked="1"/>
        <c:majorTickMark val="out"/>
        <c:minorTickMark val="none"/>
        <c:tickLblPos val="nextTo"/>
        <c:crossAx val="212293888"/>
        <c:crosses val="max"/>
        <c:crossBetween val="midCat"/>
      </c:valAx>
      <c:valAx>
        <c:axId val="2122938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1229235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8551942773983353E-2"/>
          <c:y val="0.82333280176040313"/>
          <c:w val="0.94192557456616532"/>
          <c:h val="7.9265386770473914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Level of sophistication of purchased cloud computing services by size class, EU, 2025</a:t>
            </a:r>
          </a:p>
          <a:p>
            <a:pPr algn="l">
              <a:defRPr sz="1800" b="1"/>
            </a:pPr>
            <a:r>
              <a:rPr lang="en-US" sz="1600" b="0"/>
              <a:t>(% of enterprises using paid cloud services)</a:t>
            </a:r>
          </a:p>
        </c:rich>
      </c:tx>
      <c:layout>
        <c:manualLayout>
          <c:xMode val="edge"/>
          <c:yMode val="edge"/>
          <c:x val="6.6666666666666671E-3"/>
          <c:y val="8.06256422871971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title>
    <c:autoTitleDeleted val="0"/>
    <c:plotArea>
      <c:layout>
        <c:manualLayout>
          <c:xMode val="edge"/>
          <c:yMode val="edge"/>
          <c:x val="1.4666666666666666E-2"/>
          <c:y val="0.16084815636295824"/>
          <c:w val="0.97066666666666668"/>
          <c:h val="0.6730711148320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'Fig8'!$B$7</c:f>
              <c:strCache>
                <c:ptCount val="1"/>
                <c:pt idx="0">
                  <c:v>All enterprises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'Fig8'!$C$5:$E$5</c:f>
              <c:strCache>
                <c:ptCount val="3"/>
                <c:pt idx="0">
                  <c:v>Basic CC services</c:v>
                </c:pt>
                <c:pt idx="1">
                  <c:v>Intermediate CC services</c:v>
                </c:pt>
                <c:pt idx="2">
                  <c:v>Sophisticated CC services</c:v>
                </c:pt>
              </c:strCache>
            </c:strRef>
          </c:cat>
          <c:val>
            <c:numRef>
              <c:f>'Fig8'!$C$7:$E$7</c:f>
              <c:numCache>
                <c:formatCode>0.00</c:formatCode>
                <c:ptCount val="3"/>
                <c:pt idx="0">
                  <c:v>10.55</c:v>
                </c:pt>
                <c:pt idx="1">
                  <c:v>10.79</c:v>
                </c:pt>
                <c:pt idx="2">
                  <c:v>77.53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A-4D70-90FE-3337C1EA07DA}"/>
            </c:ext>
          </c:extLst>
        </c:ser>
        <c:ser>
          <c:idx val="1"/>
          <c:order val="1"/>
          <c:tx>
            <c:strRef>
              <c:f>'Fig8'!$B$8</c:f>
              <c:strCache>
                <c:ptCount val="1"/>
                <c:pt idx="0">
                  <c:v>Small enterprises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'Fig8'!$C$5:$E$5</c:f>
              <c:strCache>
                <c:ptCount val="3"/>
                <c:pt idx="0">
                  <c:v>Basic CC services</c:v>
                </c:pt>
                <c:pt idx="1">
                  <c:v>Intermediate CC services</c:v>
                </c:pt>
                <c:pt idx="2">
                  <c:v>Sophisticated CC services</c:v>
                </c:pt>
              </c:strCache>
            </c:strRef>
          </c:cat>
          <c:val>
            <c:numRef>
              <c:f>'Fig8'!$C$8:$E$8</c:f>
              <c:numCache>
                <c:formatCode>0.00</c:formatCode>
                <c:ptCount val="3"/>
                <c:pt idx="0">
                  <c:v>10.98</c:v>
                </c:pt>
                <c:pt idx="1">
                  <c:v>11.72</c:v>
                </c:pt>
                <c:pt idx="2">
                  <c:v>76.08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A-4D70-90FE-3337C1EA07DA}"/>
            </c:ext>
          </c:extLst>
        </c:ser>
        <c:ser>
          <c:idx val="2"/>
          <c:order val="2"/>
          <c:tx>
            <c:strRef>
              <c:f>'Fig8'!$B$9</c:f>
              <c:strCache>
                <c:ptCount val="1"/>
                <c:pt idx="0">
                  <c:v>Medium enterprises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'Fig8'!$C$5:$E$5</c:f>
              <c:strCache>
                <c:ptCount val="3"/>
                <c:pt idx="0">
                  <c:v>Basic CC services</c:v>
                </c:pt>
                <c:pt idx="1">
                  <c:v>Intermediate CC services</c:v>
                </c:pt>
                <c:pt idx="2">
                  <c:v>Sophisticated CC services</c:v>
                </c:pt>
              </c:strCache>
            </c:strRef>
          </c:cat>
          <c:val>
            <c:numRef>
              <c:f>'Fig8'!$C$9:$E$9</c:f>
              <c:numCache>
                <c:formatCode>0.00</c:formatCode>
                <c:ptCount val="3"/>
                <c:pt idx="0">
                  <c:v>9.59</c:v>
                </c:pt>
                <c:pt idx="1">
                  <c:v>8.2799999999999994</c:v>
                </c:pt>
                <c:pt idx="2">
                  <c:v>81.27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7A-4D70-90FE-3337C1EA07DA}"/>
            </c:ext>
          </c:extLst>
        </c:ser>
        <c:ser>
          <c:idx val="3"/>
          <c:order val="3"/>
          <c:tx>
            <c:strRef>
              <c:f>'Fig8'!$B$10</c:f>
              <c:strCache>
                <c:ptCount val="1"/>
                <c:pt idx="0">
                  <c:v>Large enterprises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'Fig8'!$C$5:$E$5</c:f>
              <c:strCache>
                <c:ptCount val="3"/>
                <c:pt idx="0">
                  <c:v>Basic CC services</c:v>
                </c:pt>
                <c:pt idx="1">
                  <c:v>Intermediate CC services</c:v>
                </c:pt>
                <c:pt idx="2">
                  <c:v>Sophisticated CC services</c:v>
                </c:pt>
              </c:strCache>
            </c:strRef>
          </c:cat>
          <c:val>
            <c:numRef>
              <c:f>'Fig8'!$C$10:$E$10</c:f>
              <c:numCache>
                <c:formatCode>0.00</c:formatCode>
                <c:ptCount val="3"/>
                <c:pt idx="0">
                  <c:v>6.83</c:v>
                </c:pt>
                <c:pt idx="1">
                  <c:v>4.67</c:v>
                </c:pt>
                <c:pt idx="2">
                  <c:v>87.79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7A-4D70-90FE-3337C1EA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803481903"/>
        <c:axId val="1540467535"/>
      </c:barChart>
      <c:catAx>
        <c:axId val="1803481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540467535"/>
        <c:crosses val="autoZero"/>
        <c:auto val="1"/>
        <c:lblAlgn val="ctr"/>
        <c:lblOffset val="100"/>
        <c:tickMarkSkip val="1"/>
        <c:noMultiLvlLbl val="0"/>
      </c:catAx>
      <c:valAx>
        <c:axId val="15404675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80348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335359580052492"/>
          <c:y val="0.85609132282396083"/>
          <c:w val="0.71329270341207351"/>
          <c:h val="3.885330656392717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4</xdr:row>
      <xdr:rowOff>80010</xdr:rowOff>
    </xdr:from>
    <xdr:to>
      <xdr:col>21</xdr:col>
      <xdr:colOff>83820</xdr:colOff>
      <xdr:row>39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6DB73-E25A-8D91-34E4-1BE9B25B3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4BF9C18B-4346-F60D-FDBE-A68FFBB18803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 kern="1200">
              <a:latin typeface="Arial" panose="020B0604020202020204" pitchFamily="34" charset="0"/>
            </a:rPr>
            <a:t>Source:</a:t>
          </a:r>
          <a:r>
            <a:rPr lang="en-IE" sz="1200" kern="1200">
              <a:latin typeface="Arial" panose="020B0604020202020204" pitchFamily="34" charset="0"/>
            </a:rPr>
            <a:t> Eurostat (online data code: isoc_cicce_use)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3BFE205E-A520-6AC4-A906-9DDF291A7B5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4</xdr:row>
      <xdr:rowOff>26670</xdr:rowOff>
    </xdr:from>
    <xdr:to>
      <xdr:col>23</xdr:col>
      <xdr:colOff>533400</xdr:colOff>
      <xdr:row>30</xdr:row>
      <xdr:rowOff>33275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65D17-5189-8F5E-9CDF-A526C2E18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4165FBC6-7EC1-F89C-8A49-C5B14AC1633C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de-DE" sz="1200" i="1">
              <a:latin typeface="Arial" panose="020B0604020202020204" pitchFamily="34" charset="0"/>
            </a:rPr>
            <a:t>Source:</a:t>
          </a:r>
          <a:r>
            <a:rPr lang="de-DE" sz="1200">
              <a:latin typeface="Arial" panose="020B0604020202020204" pitchFamily="34" charset="0"/>
            </a:rPr>
            <a:t> Eurostat (online data code: isoc_cicce_usen2)</a:t>
          </a:r>
          <a:endParaRPr lang="en-D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042D27BD-53B2-4764-64A7-CECE748A062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</xdr:row>
      <xdr:rowOff>102870</xdr:rowOff>
    </xdr:from>
    <xdr:to>
      <xdr:col>21</xdr:col>
      <xdr:colOff>0</xdr:colOff>
      <xdr:row>38</xdr:row>
      <xdr:rowOff>18035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E107B-74BC-DCDB-D80D-0FBC11025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D3E64240-C1BE-3F9A-8260-820F45ACB50D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de-DE" sz="1200" i="1">
              <a:latin typeface="Arial" panose="020B0604020202020204" pitchFamily="34" charset="0"/>
            </a:rPr>
            <a:t>Source:</a:t>
          </a:r>
          <a:r>
            <a:rPr lang="de-DE" sz="1200">
              <a:latin typeface="Arial" panose="020B0604020202020204" pitchFamily="34" charset="0"/>
            </a:rPr>
            <a:t> Eurostat (online data code: isoc_cicce_use)</a:t>
          </a:r>
          <a:endParaRPr lang="en-D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49FB98DC-7C97-0807-9769-D37F79F2115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4</xdr:row>
      <xdr:rowOff>41910</xdr:rowOff>
    </xdr:from>
    <xdr:to>
      <xdr:col>21</xdr:col>
      <xdr:colOff>205740</xdr:colOff>
      <xdr:row>34</xdr:row>
      <xdr:rowOff>155195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39CDA-4A5F-798C-ADAB-47B282A12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2A9152AF-53B2-213E-7259-690BDB7605BD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de-DE" sz="1200" i="1">
              <a:latin typeface="Arial" panose="020B0604020202020204" pitchFamily="34" charset="0"/>
            </a:rPr>
            <a:t>Source:</a:t>
          </a:r>
          <a:r>
            <a:rPr lang="de-DE" sz="1200">
              <a:latin typeface="Arial" panose="020B0604020202020204" pitchFamily="34" charset="0"/>
            </a:rPr>
            <a:t> Eurostat (online data code: isoc_cicce_use)</a:t>
          </a:r>
          <a:endParaRPr lang="en-D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758367E2-CA8F-2135-1F18-8483E5D4F51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3</xdr:row>
      <xdr:rowOff>133350</xdr:rowOff>
    </xdr:from>
    <xdr:to>
      <xdr:col>21</xdr:col>
      <xdr:colOff>236220</xdr:colOff>
      <xdr:row>38</xdr:row>
      <xdr:rowOff>63755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7410F6-A042-D266-DCCA-BC7C5EA41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EDBEFDCA-D188-526E-CB37-A4450BF0C857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de-DE" sz="1200" i="1">
              <a:latin typeface="Arial" panose="020B0604020202020204" pitchFamily="34" charset="0"/>
            </a:rPr>
            <a:t>Source:</a:t>
          </a:r>
          <a:r>
            <a:rPr lang="de-DE" sz="1200">
              <a:latin typeface="Arial" panose="020B0604020202020204" pitchFamily="34" charset="0"/>
            </a:rPr>
            <a:t> Eurostat (online data code: isoc_cicce_use)</a:t>
          </a:r>
          <a:endParaRPr lang="en-D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E00CED70-CA36-F434-21FC-9A89B23FC3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</xdr:row>
      <xdr:rowOff>49530</xdr:rowOff>
    </xdr:from>
    <xdr:to>
      <xdr:col>20</xdr:col>
      <xdr:colOff>228600</xdr:colOff>
      <xdr:row>40</xdr:row>
      <xdr:rowOff>147575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91E8A-8ABB-8678-5E0C-5A20F7428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1B6A377F-8EB4-D904-CAF7-63A82CE7162D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 kern="1200">
              <a:latin typeface="Arial" panose="020B0604020202020204" pitchFamily="34" charset="0"/>
            </a:rPr>
            <a:t>Source:</a:t>
          </a:r>
          <a:r>
            <a:rPr lang="en-IE" sz="1200" kern="1200">
              <a:latin typeface="Arial" panose="020B0604020202020204" pitchFamily="34" charset="0"/>
            </a:rPr>
            <a:t> Eurostat (online data code: isoc_cicce_use)</a:t>
          </a: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5571087A-4E7A-F82C-5E79-688B2306E8A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397697</xdr:colOff>
      <xdr:row>2</xdr:row>
      <xdr:rowOff>129541</xdr:rowOff>
    </xdr:from>
    <xdr:to>
      <xdr:col>25</xdr:col>
      <xdr:colOff>213360</xdr:colOff>
      <xdr:row>33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0.00386</cdr:x>
      <cdr:y>0.96199</cdr:y>
    </cdr:from>
    <cdr:ext cx="7994650" cy="269368"/>
    <cdr:sp macro="" textlink="">
      <cdr:nvSpPr>
        <cdr:cNvPr id="3" name="FootonotesShape"/>
        <cdr:cNvSpPr txBox="1"/>
      </cdr:nvSpPr>
      <cdr:spPr>
        <a:xfrm xmlns:a="http://schemas.openxmlformats.org/drawingml/2006/main">
          <a:off x="41328" y="7073794"/>
          <a:ext cx="7994650" cy="26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US" sz="1200" i="1">
              <a:latin typeface="Arial" panose="020B0604020202020204" pitchFamily="34" charset="0"/>
            </a:rPr>
            <a:t>Source:</a:t>
          </a:r>
          <a:r>
            <a:rPr lang="en-US" sz="1200">
              <a:latin typeface="Arial" panose="020B0604020202020204" pitchFamily="34" charset="0"/>
            </a:rPr>
            <a:t> Eurostat (online data code: isoc_cicce_usen2)</a:t>
          </a:r>
        </a:p>
      </cdr:txBody>
    </cdr:sp>
  </cdr:absSizeAnchor>
  <cdr:absSizeAnchor xmlns:cdr="http://schemas.openxmlformats.org/drawingml/2006/chartDrawing">
    <cdr:from>
      <cdr:x>0.85352</cdr:x>
      <cdr:y>0.93674</cdr:y>
    </cdr:from>
    <cdr:ext cx="1567982" cy="39649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1C649B80-608C-0818-B4BF-327C24A87A7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9136661" y="6888104"/>
          <a:ext cx="1567982" cy="396495"/>
        </a:xfrm>
        <a:prstGeom xmlns:a="http://schemas.openxmlformats.org/drawingml/2006/main" prst="rect">
          <a:avLst/>
        </a:prstGeom>
      </cdr:spPr>
    </cdr:pic>
  </cdr:abs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102870</xdr:rowOff>
    </xdr:from>
    <xdr:to>
      <xdr:col>19</xdr:col>
      <xdr:colOff>327660</xdr:colOff>
      <xdr:row>41</xdr:row>
      <xdr:rowOff>56135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F48B8-1F52-1CB1-8CB2-10824BFB6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absSizeAnchor xmlns:cdr="http://schemas.openxmlformats.org/drawingml/2006/chartDrawing">
    <cdr:from>
      <cdr:x>0</cdr:x>
      <cdr:y>0.95725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73B277F6-854C-D992-AF39-B044777B640F}"/>
            </a:ext>
          </a:extLst>
        </cdr:cNvPr>
        <cdr:cNvSpPr txBox="1"/>
      </cdr:nvSpPr>
      <cdr:spPr>
        <a:xfrm xmlns:a="http://schemas.openxmlformats.org/drawingml/2006/main">
          <a:off x="0" y="6031356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de-DE" sz="1200" i="1">
              <a:latin typeface="Arial" panose="020B0604020202020204" pitchFamily="34" charset="0"/>
            </a:rPr>
            <a:t>Source:</a:t>
          </a:r>
          <a:r>
            <a:rPr lang="de-DE" sz="1200">
              <a:latin typeface="Arial" panose="020B0604020202020204" pitchFamily="34" charset="0"/>
            </a:rPr>
            <a:t> Eurostat (online data code: isoc_cicce_use)</a:t>
          </a:r>
          <a:endParaRPr lang="en-D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0.93324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46FA66B3-E5E2-7C0A-2B60-90B786AF8FA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8010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bookmark/751b6bd3-143b-4846-b0e7-25f52e185ed0?lang=en&amp;createdAt=2026-01-13T14:17:33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da70cad3-8594-4ff9-8424-e81bdc04aebd?lang=en&amp;createdAt=2026-01-13T14:54:26Z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bookmark/6be1436f-e8ea-4548-85f2-9bf583c66c4f?lang=en&amp;createdAt=2026-01-13T14:53:10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bookmark/f45ff451-cc7b-44c1-87fc-ddee4b327351?lang=en&amp;createdAt=2026-01-13T14:19:30Z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c.europa.eu/eurostat/databrowser/bookmark/abfe2e01-c79f-4915-a405-ba050ad055da?lang=en&amp;createdAt=2026-01-13T14:21:43Z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c.europa.eu/eurostat/databrowser/bookmark/8f0c945a-9c9e-4578-97bf-2ddd9029908a?lang=en&amp;createdAt=2026-01-13T14:24:00Z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c.europa.eu/eurostat/databrowser/bookmark/f9d020fb-7642-4005-90f1-e5e2c0b4466a?lang=en&amp;createdAt=2026-01-13T14:28:41Z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ec.europa.eu/eurostat/databrowser/bookmark/b9154a7f-8fe0-410b-8ad9-73c84f71f089?lang=en&amp;createdAt=2026-01-13T14:51:28Z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c.europa.eu/eurostat/databrowser/bookmark/150cd555-ae70-4143-a7fa-6871190eb087?lang=en&amp;createdAt=2026-01-13T14:47:47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rgb="FF00B0F0"/>
  </sheetPr>
  <dimension ref="A2:V47"/>
  <sheetViews>
    <sheetView tabSelected="1" topLeftCell="A24" zoomScaleNormal="100" workbookViewId="0">
      <selection activeCell="B46" sqref="B46:B47"/>
    </sheetView>
  </sheetViews>
  <sheetFormatPr defaultColWidth="9.109375" defaultRowHeight="13.2" x14ac:dyDescent="0.25"/>
  <cols>
    <col min="1" max="1" width="9.109375" style="3" customWidth="1"/>
    <col min="2" max="2" width="25.77734375" style="3" customWidth="1"/>
    <col min="3" max="5" width="15.77734375" style="3" customWidth="1"/>
    <col min="6" max="22" width="9.109375" style="3"/>
    <col min="23" max="24" width="5" style="3" bestFit="1" customWidth="1"/>
    <col min="25" max="16384" width="9.109375" style="3"/>
  </cols>
  <sheetData>
    <row r="2" spans="1:8" x14ac:dyDescent="0.25">
      <c r="B2" s="4" t="s">
        <v>101</v>
      </c>
      <c r="H2" s="5"/>
    </row>
    <row r="3" spans="1:8" x14ac:dyDescent="0.25">
      <c r="B3" s="1" t="s">
        <v>49</v>
      </c>
      <c r="C3" s="6"/>
      <c r="D3" s="6"/>
    </row>
    <row r="4" spans="1:8" x14ac:dyDescent="0.25">
      <c r="C4" s="6"/>
      <c r="D4" s="6"/>
    </row>
    <row r="5" spans="1:8" ht="26.4" x14ac:dyDescent="0.25">
      <c r="B5" s="50"/>
      <c r="C5" s="7">
        <v>2023</v>
      </c>
      <c r="D5" s="7">
        <v>2025</v>
      </c>
      <c r="E5" s="8" t="s">
        <v>97</v>
      </c>
    </row>
    <row r="6" spans="1:8" x14ac:dyDescent="0.25">
      <c r="B6" s="77" t="s">
        <v>57</v>
      </c>
      <c r="C6" s="100">
        <v>45.32</v>
      </c>
      <c r="D6" s="100">
        <v>52.74</v>
      </c>
      <c r="E6" s="100">
        <v>7.4200000000000017</v>
      </c>
    </row>
    <row r="7" spans="1:8" x14ac:dyDescent="0.25">
      <c r="C7" s="90"/>
      <c r="D7" s="90"/>
      <c r="E7" s="99"/>
    </row>
    <row r="8" spans="1:8" x14ac:dyDescent="0.25">
      <c r="A8" s="4"/>
      <c r="B8" s="4" t="s">
        <v>17</v>
      </c>
      <c r="C8" s="95">
        <v>78.290000000000006</v>
      </c>
      <c r="D8" s="95">
        <v>79.209999999999994</v>
      </c>
      <c r="E8" s="90">
        <v>0.91999999999998749</v>
      </c>
      <c r="F8" s="71"/>
    </row>
    <row r="9" spans="1:8" x14ac:dyDescent="0.25">
      <c r="A9" s="4"/>
      <c r="B9" s="4" t="s">
        <v>33</v>
      </c>
      <c r="C9" s="95">
        <v>61.39</v>
      </c>
      <c r="D9" s="95">
        <v>75.599999999999994</v>
      </c>
      <c r="E9" s="90">
        <v>14.209999999999994</v>
      </c>
      <c r="F9" s="71"/>
    </row>
    <row r="10" spans="1:8" x14ac:dyDescent="0.25">
      <c r="A10" s="4"/>
      <c r="B10" s="4" t="s">
        <v>14</v>
      </c>
      <c r="C10" s="95">
        <v>66.739999999999995</v>
      </c>
      <c r="D10" s="95">
        <v>74.87</v>
      </c>
      <c r="E10" s="90">
        <v>8.1300000000000097</v>
      </c>
      <c r="F10" s="71"/>
    </row>
    <row r="11" spans="1:8" x14ac:dyDescent="0.25">
      <c r="A11" s="4"/>
      <c r="B11" s="4" t="s">
        <v>16</v>
      </c>
      <c r="C11" s="95">
        <v>63.1</v>
      </c>
      <c r="D11" s="95">
        <v>73.040000000000006</v>
      </c>
      <c r="E11" s="90">
        <v>9.9400000000000048</v>
      </c>
      <c r="F11" s="71"/>
    </row>
    <row r="12" spans="1:8" x14ac:dyDescent="0.25">
      <c r="A12" s="4"/>
      <c r="B12" s="4" t="s">
        <v>98</v>
      </c>
      <c r="C12" s="95">
        <v>71.62</v>
      </c>
      <c r="D12" s="95">
        <v>72</v>
      </c>
      <c r="E12" s="90">
        <v>0.37999999999999545</v>
      </c>
      <c r="F12" s="71"/>
    </row>
    <row r="13" spans="1:8" x14ac:dyDescent="0.25">
      <c r="A13" s="4"/>
      <c r="B13" s="4" t="s">
        <v>15</v>
      </c>
      <c r="C13" s="95">
        <v>69.48</v>
      </c>
      <c r="D13" s="95">
        <v>68.88</v>
      </c>
      <c r="E13" s="90">
        <v>-0.60000000000000853</v>
      </c>
      <c r="F13" s="71"/>
    </row>
    <row r="14" spans="1:8" x14ac:dyDescent="0.25">
      <c r="A14" s="4"/>
      <c r="B14" s="4" t="s">
        <v>20</v>
      </c>
      <c r="C14" s="95">
        <v>64.19</v>
      </c>
      <c r="D14" s="95">
        <v>68.489999999999995</v>
      </c>
      <c r="E14" s="90">
        <v>4.2999999999999972</v>
      </c>
      <c r="F14" s="71"/>
    </row>
    <row r="15" spans="1:8" x14ac:dyDescent="0.25">
      <c r="A15" s="4"/>
      <c r="B15" s="4" t="s">
        <v>12</v>
      </c>
      <c r="C15" s="95">
        <v>51.69</v>
      </c>
      <c r="D15" s="95">
        <v>61.62</v>
      </c>
      <c r="E15" s="90">
        <v>9.93</v>
      </c>
      <c r="F15" s="71"/>
    </row>
    <row r="16" spans="1:8" x14ac:dyDescent="0.25">
      <c r="A16" s="4"/>
      <c r="B16" s="4" t="s">
        <v>28</v>
      </c>
      <c r="C16" s="95">
        <v>58.57</v>
      </c>
      <c r="D16" s="95">
        <v>60.66</v>
      </c>
      <c r="E16" s="90">
        <v>2.0899999999999963</v>
      </c>
      <c r="F16" s="71"/>
    </row>
    <row r="17" spans="1:6" x14ac:dyDescent="0.25">
      <c r="A17" s="4"/>
      <c r="B17" s="4" t="s">
        <v>18</v>
      </c>
      <c r="C17" s="95">
        <v>38.39</v>
      </c>
      <c r="D17" s="95">
        <v>58.06</v>
      </c>
      <c r="E17" s="90">
        <v>19.670000000000002</v>
      </c>
      <c r="F17" s="71"/>
    </row>
    <row r="18" spans="1:6" x14ac:dyDescent="0.25">
      <c r="A18" s="4"/>
      <c r="B18" s="4" t="s">
        <v>39</v>
      </c>
      <c r="C18" s="95">
        <v>47.15</v>
      </c>
      <c r="D18" s="95">
        <v>54.9</v>
      </c>
      <c r="E18" s="90">
        <v>7.75</v>
      </c>
      <c r="F18" s="71"/>
    </row>
    <row r="19" spans="1:6" x14ac:dyDescent="0.25">
      <c r="A19" s="4"/>
      <c r="B19" s="4" t="s">
        <v>24</v>
      </c>
      <c r="C19" s="95">
        <v>55.67</v>
      </c>
      <c r="D19" s="95">
        <v>54.71</v>
      </c>
      <c r="E19" s="90">
        <v>-0.96000000000000085</v>
      </c>
      <c r="F19" s="71"/>
    </row>
    <row r="20" spans="1:6" x14ac:dyDescent="0.25">
      <c r="A20" s="4"/>
      <c r="B20" s="4" t="s">
        <v>23</v>
      </c>
      <c r="C20" s="95">
        <v>47</v>
      </c>
      <c r="D20" s="95">
        <v>53.91</v>
      </c>
      <c r="E20" s="90">
        <v>6.9099999999999966</v>
      </c>
      <c r="F20" s="71"/>
    </row>
    <row r="21" spans="1:6" x14ac:dyDescent="0.25">
      <c r="A21" s="4"/>
      <c r="B21" s="4" t="s">
        <v>22</v>
      </c>
      <c r="C21" s="95">
        <v>46.48</v>
      </c>
      <c r="D21" s="95">
        <v>52.08</v>
      </c>
      <c r="E21" s="90">
        <v>5.6000000000000014</v>
      </c>
      <c r="F21" s="71"/>
    </row>
    <row r="22" spans="1:6" x14ac:dyDescent="0.25">
      <c r="A22" s="4"/>
      <c r="B22" s="4" t="s">
        <v>27</v>
      </c>
      <c r="C22" s="95">
        <v>52.93</v>
      </c>
      <c r="D22" s="95">
        <v>51.38</v>
      </c>
      <c r="E22" s="90">
        <v>-1.5499999999999972</v>
      </c>
      <c r="F22" s="71"/>
    </row>
    <row r="23" spans="1:6" x14ac:dyDescent="0.25">
      <c r="A23" s="4"/>
      <c r="B23" s="4" t="s">
        <v>31</v>
      </c>
      <c r="C23" s="95">
        <v>40.21</v>
      </c>
      <c r="D23" s="95">
        <v>48.04</v>
      </c>
      <c r="E23" s="90">
        <v>7.8299999999999983</v>
      </c>
      <c r="F23" s="71"/>
    </row>
    <row r="24" spans="1:6" x14ac:dyDescent="0.25">
      <c r="A24" s="4"/>
      <c r="B24" s="4" t="s">
        <v>32</v>
      </c>
      <c r="C24" s="95">
        <v>44.94</v>
      </c>
      <c r="D24" s="95">
        <v>47.96</v>
      </c>
      <c r="E24" s="90">
        <v>3.0200000000000031</v>
      </c>
      <c r="F24" s="71"/>
    </row>
    <row r="25" spans="1:6" x14ac:dyDescent="0.25">
      <c r="A25" s="4"/>
      <c r="B25" s="4" t="s">
        <v>26</v>
      </c>
      <c r="C25" s="95">
        <v>37.04</v>
      </c>
      <c r="D25" s="95">
        <v>47.7</v>
      </c>
      <c r="E25" s="90">
        <v>10.660000000000004</v>
      </c>
      <c r="F25" s="71"/>
    </row>
    <row r="26" spans="1:6" x14ac:dyDescent="0.25">
      <c r="A26" s="4"/>
      <c r="B26" s="4" t="s">
        <v>19</v>
      </c>
      <c r="C26" s="95">
        <v>45.08</v>
      </c>
      <c r="D26" s="95">
        <v>46.61</v>
      </c>
      <c r="E26" s="90">
        <v>1.5300000000000011</v>
      </c>
      <c r="F26" s="71"/>
    </row>
    <row r="27" spans="1:6" x14ac:dyDescent="0.25">
      <c r="A27" s="4"/>
      <c r="B27" s="4" t="s">
        <v>29</v>
      </c>
      <c r="C27" s="95">
        <v>35.76</v>
      </c>
      <c r="D27" s="95">
        <v>44.08</v>
      </c>
      <c r="E27" s="90">
        <v>8.32</v>
      </c>
      <c r="F27" s="71"/>
    </row>
    <row r="28" spans="1:6" x14ac:dyDescent="0.25">
      <c r="A28" s="4"/>
      <c r="B28" s="4" t="s">
        <v>30</v>
      </c>
      <c r="C28" s="95">
        <v>30.04</v>
      </c>
      <c r="D28" s="95">
        <v>41.65</v>
      </c>
      <c r="E28" s="90">
        <v>11.61</v>
      </c>
      <c r="F28" s="71"/>
    </row>
    <row r="29" spans="1:6" x14ac:dyDescent="0.25">
      <c r="A29" s="4"/>
      <c r="B29" s="4" t="s">
        <v>99</v>
      </c>
      <c r="C29" s="95">
        <v>26.76</v>
      </c>
      <c r="D29" s="95">
        <v>40.409999999999997</v>
      </c>
      <c r="E29" s="90">
        <v>13.649999999999995</v>
      </c>
      <c r="F29" s="71"/>
    </row>
    <row r="30" spans="1:6" x14ac:dyDescent="0.25">
      <c r="A30" s="4"/>
      <c r="B30" s="4" t="s">
        <v>34</v>
      </c>
      <c r="C30" s="95">
        <v>37.5</v>
      </c>
      <c r="D30" s="95">
        <v>38.71</v>
      </c>
      <c r="E30" s="90">
        <v>1.2100000000000009</v>
      </c>
      <c r="F30" s="71"/>
    </row>
    <row r="31" spans="1:6" x14ac:dyDescent="0.25">
      <c r="A31" s="4"/>
      <c r="B31" s="4" t="s">
        <v>25</v>
      </c>
      <c r="C31" s="95">
        <v>34.42</v>
      </c>
      <c r="D31" s="95">
        <v>36.44</v>
      </c>
      <c r="E31" s="90">
        <v>2.019999999999996</v>
      </c>
      <c r="F31" s="71"/>
    </row>
    <row r="32" spans="1:6" x14ac:dyDescent="0.25">
      <c r="A32" s="4"/>
      <c r="B32" s="4" t="s">
        <v>35</v>
      </c>
      <c r="C32" s="95">
        <v>18.399999999999999</v>
      </c>
      <c r="D32" s="95">
        <v>24.94</v>
      </c>
      <c r="E32" s="90">
        <v>6.5400000000000027</v>
      </c>
      <c r="F32" s="71"/>
    </row>
    <row r="33" spans="1:22" x14ac:dyDescent="0.25">
      <c r="A33" s="4"/>
      <c r="B33" s="4" t="s">
        <v>21</v>
      </c>
      <c r="C33" s="95">
        <v>23.59</v>
      </c>
      <c r="D33" s="95">
        <v>24.33</v>
      </c>
      <c r="E33" s="90">
        <v>0.73999999999999844</v>
      </c>
      <c r="F33" s="71"/>
    </row>
    <row r="34" spans="1:22" x14ac:dyDescent="0.25">
      <c r="A34" s="4"/>
      <c r="B34" s="4" t="s">
        <v>13</v>
      </c>
      <c r="C34" s="95">
        <v>17.5</v>
      </c>
      <c r="D34" s="95">
        <v>17.829999999999998</v>
      </c>
      <c r="E34" s="90">
        <v>0.32999999999999829</v>
      </c>
      <c r="F34" s="71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x14ac:dyDescent="0.25">
      <c r="A35" s="4"/>
      <c r="B35" s="4"/>
      <c r="C35" s="95"/>
      <c r="D35" s="95"/>
      <c r="E35" s="99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x14ac:dyDescent="0.25">
      <c r="A36" s="4"/>
      <c r="B36" s="4" t="s">
        <v>36</v>
      </c>
      <c r="C36" s="95">
        <v>71.34</v>
      </c>
      <c r="D36" s="95">
        <v>66.540000000000006</v>
      </c>
      <c r="E36" s="90">
        <v>-4.7999999999999972</v>
      </c>
      <c r="F36" s="71"/>
    </row>
    <row r="37" spans="1:22" x14ac:dyDescent="0.25">
      <c r="A37" s="4"/>
      <c r="B37" s="4"/>
      <c r="C37" s="95"/>
      <c r="D37" s="95"/>
      <c r="E37" s="90"/>
    </row>
    <row r="38" spans="1:22" x14ac:dyDescent="0.25">
      <c r="A38" s="11"/>
      <c r="B38" s="4" t="s">
        <v>37</v>
      </c>
      <c r="C38" s="95">
        <v>37</v>
      </c>
      <c r="D38" s="95">
        <v>41.51</v>
      </c>
      <c r="E38" s="90">
        <v>4.509999999999998</v>
      </c>
      <c r="F38" s="71"/>
    </row>
    <row r="39" spans="1:22" x14ac:dyDescent="0.25">
      <c r="A39" s="11"/>
      <c r="B39" s="4" t="s">
        <v>70</v>
      </c>
      <c r="C39" s="95">
        <v>31.66</v>
      </c>
      <c r="D39" s="95">
        <v>33.36</v>
      </c>
      <c r="E39" s="90">
        <v>1.6999999999999993</v>
      </c>
      <c r="F39" s="71"/>
    </row>
    <row r="40" spans="1:22" x14ac:dyDescent="0.25">
      <c r="A40" s="4"/>
      <c r="B40" s="4" t="s">
        <v>48</v>
      </c>
      <c r="C40" s="95">
        <v>20.66</v>
      </c>
      <c r="D40" s="95">
        <v>28.99</v>
      </c>
      <c r="E40" s="90">
        <v>8.3299999999999983</v>
      </c>
      <c r="F40" s="71"/>
    </row>
    <row r="41" spans="1:22" x14ac:dyDescent="0.25">
      <c r="A41" s="11"/>
      <c r="B41" s="78" t="s">
        <v>89</v>
      </c>
      <c r="C41" s="98">
        <v>16.39</v>
      </c>
      <c r="D41" s="123">
        <v>20.3</v>
      </c>
      <c r="E41" s="93">
        <v>3.91</v>
      </c>
      <c r="F41" s="71"/>
    </row>
    <row r="42" spans="1:22" x14ac:dyDescent="0.25">
      <c r="B42" s="11"/>
      <c r="C42" s="13"/>
      <c r="D42" s="6"/>
      <c r="E42" s="12"/>
    </row>
    <row r="43" spans="1:22" ht="14.4" customHeight="1" x14ac:dyDescent="0.25">
      <c r="B43" s="1"/>
      <c r="C43" s="6"/>
      <c r="D43" s="6"/>
      <c r="E43" s="12"/>
    </row>
    <row r="44" spans="1:22" x14ac:dyDescent="0.25">
      <c r="B44" s="15" t="s">
        <v>69</v>
      </c>
    </row>
    <row r="45" spans="1:22" x14ac:dyDescent="0.25">
      <c r="B45" s="15"/>
    </row>
    <row r="46" spans="1:22" x14ac:dyDescent="0.25">
      <c r="B46" s="67" t="s">
        <v>121</v>
      </c>
    </row>
    <row r="47" spans="1:22" ht="14.4" x14ac:dyDescent="0.3">
      <c r="B47" s="3" t="s">
        <v>123</v>
      </c>
      <c r="C47" s="168" t="s">
        <v>122</v>
      </c>
    </row>
  </sheetData>
  <sortState xmlns:xlrd2="http://schemas.microsoft.com/office/spreadsheetml/2017/richdata2" ref="B38:E41">
    <sortCondition descending="1" ref="D38:D41"/>
  </sortState>
  <hyperlinks>
    <hyperlink ref="C47" r:id="rId1" xr:uid="{8A7ACC2C-010C-4839-8F54-A56A3443855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00B0F0"/>
  </sheetPr>
  <dimension ref="A1:M48"/>
  <sheetViews>
    <sheetView topLeftCell="A22" zoomScaleNormal="100" workbookViewId="0">
      <selection activeCell="C49" sqref="C49"/>
    </sheetView>
  </sheetViews>
  <sheetFormatPr defaultColWidth="9.109375" defaultRowHeight="13.2" x14ac:dyDescent="0.25"/>
  <cols>
    <col min="1" max="1" width="9.109375" style="3"/>
    <col min="2" max="2" width="21.88671875" style="3" customWidth="1"/>
    <col min="3" max="3" width="15.5546875" style="3" customWidth="1"/>
    <col min="4" max="13" width="12.44140625" style="3" customWidth="1"/>
    <col min="14" max="16384" width="9.109375" style="3"/>
  </cols>
  <sheetData>
    <row r="1" spans="1:13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3" ht="15.6" x14ac:dyDescent="0.3">
      <c r="A2" s="12"/>
      <c r="B2" s="75" t="s">
        <v>118</v>
      </c>
      <c r="C2" s="11"/>
      <c r="D2" s="11"/>
      <c r="E2" s="11"/>
      <c r="F2" s="12"/>
      <c r="G2" s="12"/>
      <c r="H2" s="12"/>
      <c r="I2" s="12"/>
      <c r="J2" s="12"/>
      <c r="K2" s="12"/>
    </row>
    <row r="3" spans="1:13" ht="15.6" x14ac:dyDescent="0.3">
      <c r="A3" s="12"/>
      <c r="B3" s="75"/>
      <c r="C3" s="11"/>
      <c r="D3" s="11"/>
      <c r="E3" s="11"/>
      <c r="F3" s="12"/>
      <c r="G3" s="12"/>
      <c r="H3" s="12"/>
      <c r="I3" s="12"/>
      <c r="J3" s="12"/>
      <c r="K3" s="12"/>
    </row>
    <row r="4" spans="1:13" ht="14.4" customHeight="1" x14ac:dyDescent="0.25">
      <c r="A4" s="12"/>
      <c r="B4" s="165"/>
      <c r="C4" s="165" t="s">
        <v>119</v>
      </c>
      <c r="D4" s="163" t="s">
        <v>96</v>
      </c>
      <c r="E4" s="164"/>
      <c r="F4" s="164"/>
      <c r="G4" s="164"/>
      <c r="H4" s="164"/>
      <c r="I4" s="164"/>
      <c r="J4" s="164"/>
      <c r="K4" s="164"/>
      <c r="L4" s="164"/>
      <c r="M4" s="164"/>
    </row>
    <row r="5" spans="1:13" ht="66" x14ac:dyDescent="0.25">
      <c r="B5" s="166"/>
      <c r="C5" s="166"/>
      <c r="D5" s="86" t="s">
        <v>4</v>
      </c>
      <c r="E5" s="17" t="s">
        <v>5</v>
      </c>
      <c r="F5" s="17" t="s">
        <v>6</v>
      </c>
      <c r="G5" s="17" t="s">
        <v>55</v>
      </c>
      <c r="H5" s="17" t="s">
        <v>8</v>
      </c>
      <c r="I5" s="17" t="s">
        <v>7</v>
      </c>
      <c r="J5" s="17" t="s">
        <v>56</v>
      </c>
      <c r="K5" s="17" t="s">
        <v>10</v>
      </c>
      <c r="L5" s="17" t="s">
        <v>9</v>
      </c>
      <c r="M5" s="17" t="s">
        <v>59</v>
      </c>
    </row>
    <row r="6" spans="1:13" ht="12" customHeight="1" x14ac:dyDescent="0.25">
      <c r="B6" s="18"/>
      <c r="C6" s="19" t="s">
        <v>11</v>
      </c>
      <c r="D6" s="161" t="s">
        <v>116</v>
      </c>
      <c r="E6" s="162"/>
      <c r="F6" s="162"/>
      <c r="G6" s="162"/>
      <c r="H6" s="162"/>
      <c r="I6" s="162"/>
      <c r="J6" s="162"/>
      <c r="K6" s="162"/>
      <c r="L6" s="162"/>
      <c r="M6" s="162"/>
    </row>
    <row r="7" spans="1:13" ht="14.4" x14ac:dyDescent="0.3">
      <c r="A7"/>
      <c r="B7" s="152" t="s">
        <v>57</v>
      </c>
      <c r="C7" s="153">
        <v>52.74</v>
      </c>
      <c r="D7" s="154">
        <v>85.15</v>
      </c>
      <c r="E7" s="153">
        <v>71.69</v>
      </c>
      <c r="F7" s="155">
        <v>71.53</v>
      </c>
      <c r="G7" s="156">
        <v>65.489999999999995</v>
      </c>
      <c r="H7" s="153">
        <v>58.16</v>
      </c>
      <c r="I7" s="153">
        <v>45.52</v>
      </c>
      <c r="J7" s="153">
        <v>30.12</v>
      </c>
      <c r="K7" s="153">
        <v>28.18</v>
      </c>
      <c r="L7" s="153">
        <v>27.91</v>
      </c>
      <c r="M7" s="153">
        <v>26.08</v>
      </c>
    </row>
    <row r="8" spans="1:13" ht="14.4" x14ac:dyDescent="0.3">
      <c r="A8"/>
      <c r="B8" s="157" t="s">
        <v>12</v>
      </c>
      <c r="C8" s="135">
        <v>61.62</v>
      </c>
      <c r="D8" s="158">
        <v>89.07</v>
      </c>
      <c r="E8" s="135">
        <v>80.77</v>
      </c>
      <c r="F8" s="159">
        <v>85.55</v>
      </c>
      <c r="G8" s="160">
        <v>76.91</v>
      </c>
      <c r="H8" s="159">
        <v>74.23</v>
      </c>
      <c r="I8" s="160">
        <v>66.349999999999994</v>
      </c>
      <c r="J8" s="135">
        <v>51.39</v>
      </c>
      <c r="K8" s="135">
        <v>40.119999999999997</v>
      </c>
      <c r="L8" s="135">
        <v>48.4</v>
      </c>
      <c r="M8" s="133">
        <v>37.53</v>
      </c>
    </row>
    <row r="9" spans="1:13" ht="14.4" x14ac:dyDescent="0.3">
      <c r="A9"/>
      <c r="B9" s="20" t="s">
        <v>13</v>
      </c>
      <c r="C9" s="124">
        <v>17.829999999999998</v>
      </c>
      <c r="D9" s="130">
        <v>82.63</v>
      </c>
      <c r="E9" s="124">
        <v>64.17</v>
      </c>
      <c r="F9" s="131">
        <v>71.290000000000006</v>
      </c>
      <c r="G9" s="132">
        <v>55.54</v>
      </c>
      <c r="H9" s="131">
        <v>44.99</v>
      </c>
      <c r="I9" s="132">
        <v>63.62</v>
      </c>
      <c r="J9" s="124">
        <v>36.14</v>
      </c>
      <c r="K9" s="125">
        <v>22.51</v>
      </c>
      <c r="L9" s="125">
        <v>26.18</v>
      </c>
      <c r="M9" s="133">
        <v>26.81</v>
      </c>
    </row>
    <row r="10" spans="1:13" ht="14.4" x14ac:dyDescent="0.3">
      <c r="A10"/>
      <c r="B10" s="20" t="s">
        <v>39</v>
      </c>
      <c r="C10" s="124">
        <v>54.9</v>
      </c>
      <c r="D10" s="130">
        <v>89.83</v>
      </c>
      <c r="E10" s="124">
        <v>67.52</v>
      </c>
      <c r="F10" s="131">
        <v>65.83</v>
      </c>
      <c r="G10" s="132">
        <v>52.45</v>
      </c>
      <c r="H10" s="131">
        <v>48.45</v>
      </c>
      <c r="I10" s="132">
        <v>41.47</v>
      </c>
      <c r="J10" s="124">
        <v>29.44</v>
      </c>
      <c r="K10" s="125">
        <v>24.11</v>
      </c>
      <c r="L10" s="125">
        <v>27.39</v>
      </c>
      <c r="M10" s="134">
        <v>14.97</v>
      </c>
    </row>
    <row r="11" spans="1:13" ht="14.4" x14ac:dyDescent="0.3">
      <c r="A11"/>
      <c r="B11" s="20" t="s">
        <v>15</v>
      </c>
      <c r="C11" s="124">
        <v>68.88</v>
      </c>
      <c r="D11" s="130">
        <v>90.46</v>
      </c>
      <c r="E11" s="124">
        <v>83.08</v>
      </c>
      <c r="F11" s="131">
        <v>88.45</v>
      </c>
      <c r="G11" s="132">
        <v>82.94</v>
      </c>
      <c r="H11" s="135">
        <v>80.680000000000007</v>
      </c>
      <c r="I11" s="124">
        <v>80.63</v>
      </c>
      <c r="J11" s="124">
        <v>57.76</v>
      </c>
      <c r="K11" s="125">
        <v>56.53</v>
      </c>
      <c r="L11" s="125">
        <v>47.48</v>
      </c>
      <c r="M11" s="134">
        <v>54.35</v>
      </c>
    </row>
    <row r="12" spans="1:13" ht="14.4" x14ac:dyDescent="0.3">
      <c r="A12"/>
      <c r="B12" s="20" t="s">
        <v>23</v>
      </c>
      <c r="C12" s="124">
        <v>53.91</v>
      </c>
      <c r="D12" s="130">
        <v>76.180000000000007</v>
      </c>
      <c r="E12" s="124">
        <v>67.97</v>
      </c>
      <c r="F12" s="131">
        <v>71.099999999999994</v>
      </c>
      <c r="G12" s="132">
        <v>58.95</v>
      </c>
      <c r="H12" s="124">
        <v>57.56</v>
      </c>
      <c r="I12" s="124">
        <v>39.67</v>
      </c>
      <c r="J12" s="124">
        <v>23.32</v>
      </c>
      <c r="K12" s="125">
        <v>29.3</v>
      </c>
      <c r="L12" s="125">
        <v>23.02</v>
      </c>
      <c r="M12" s="134">
        <v>24.67</v>
      </c>
    </row>
    <row r="13" spans="1:13" ht="14.4" x14ac:dyDescent="0.3">
      <c r="A13"/>
      <c r="B13" s="20" t="s">
        <v>28</v>
      </c>
      <c r="C13" s="124">
        <v>60.66</v>
      </c>
      <c r="D13" s="130">
        <v>89.24</v>
      </c>
      <c r="E13" s="124">
        <v>83.56</v>
      </c>
      <c r="F13" s="131">
        <v>83.86</v>
      </c>
      <c r="G13" s="132">
        <v>57.77</v>
      </c>
      <c r="H13" s="124">
        <v>77.099999999999994</v>
      </c>
      <c r="I13" s="124">
        <v>35.47</v>
      </c>
      <c r="J13" s="124">
        <v>24.02</v>
      </c>
      <c r="K13" s="125">
        <v>37.909999999999997</v>
      </c>
      <c r="L13" s="125">
        <v>21.89</v>
      </c>
      <c r="M13" s="134">
        <v>24.29</v>
      </c>
    </row>
    <row r="14" spans="1:13" ht="14.4" x14ac:dyDescent="0.3">
      <c r="A14"/>
      <c r="B14" s="20" t="s">
        <v>16</v>
      </c>
      <c r="C14" s="124">
        <v>73.040000000000006</v>
      </c>
      <c r="D14" s="136">
        <v>85.6</v>
      </c>
      <c r="E14" s="137">
        <v>77.53</v>
      </c>
      <c r="F14" s="131">
        <v>69.03</v>
      </c>
      <c r="G14" s="132">
        <v>56.83</v>
      </c>
      <c r="H14" s="124">
        <v>70.599999999999994</v>
      </c>
      <c r="I14" s="124">
        <v>32.67</v>
      </c>
      <c r="J14" s="124">
        <v>22.1</v>
      </c>
      <c r="K14" s="125">
        <v>19.55</v>
      </c>
      <c r="L14" s="125">
        <v>25.64</v>
      </c>
      <c r="M14" s="138">
        <v>18.52</v>
      </c>
    </row>
    <row r="15" spans="1:13" ht="14.4" x14ac:dyDescent="0.3">
      <c r="A15"/>
      <c r="B15" s="20" t="s">
        <v>21</v>
      </c>
      <c r="C15" s="124">
        <v>24.33</v>
      </c>
      <c r="D15" s="130">
        <v>83.97</v>
      </c>
      <c r="E15" s="124">
        <v>68.650000000000006</v>
      </c>
      <c r="F15" s="131">
        <v>75.48</v>
      </c>
      <c r="G15" s="132">
        <v>63.19</v>
      </c>
      <c r="H15" s="124">
        <v>50.65</v>
      </c>
      <c r="I15" s="124">
        <v>54.02</v>
      </c>
      <c r="J15" s="124">
        <v>48</v>
      </c>
      <c r="K15" s="125">
        <v>35.64</v>
      </c>
      <c r="L15" s="125">
        <v>30.73</v>
      </c>
      <c r="M15" s="134">
        <v>27.96</v>
      </c>
    </row>
    <row r="16" spans="1:13" ht="14.4" x14ac:dyDescent="0.3">
      <c r="A16"/>
      <c r="B16" s="20" t="s">
        <v>30</v>
      </c>
      <c r="C16" s="124">
        <v>41.65</v>
      </c>
      <c r="D16" s="130">
        <v>75.62</v>
      </c>
      <c r="E16" s="124">
        <v>82.76</v>
      </c>
      <c r="F16" s="131">
        <v>87.03</v>
      </c>
      <c r="G16" s="132">
        <v>68.87</v>
      </c>
      <c r="H16" s="124">
        <v>57.44</v>
      </c>
      <c r="I16" s="124">
        <v>54.32</v>
      </c>
      <c r="J16" s="124">
        <v>46.38</v>
      </c>
      <c r="K16" s="125">
        <v>32.85</v>
      </c>
      <c r="L16" s="125">
        <v>41.35</v>
      </c>
      <c r="M16" s="134">
        <v>30.76</v>
      </c>
    </row>
    <row r="17" spans="1:13" ht="14.4" x14ac:dyDescent="0.3">
      <c r="A17"/>
      <c r="B17" s="20" t="s">
        <v>99</v>
      </c>
      <c r="C17" s="124">
        <v>40.409999999999997</v>
      </c>
      <c r="D17" s="130">
        <v>87.29</v>
      </c>
      <c r="E17" s="124">
        <v>74.209999999999994</v>
      </c>
      <c r="F17" s="131">
        <v>71.569999999999993</v>
      </c>
      <c r="G17" s="132">
        <v>65.87</v>
      </c>
      <c r="H17" s="124">
        <v>52.76</v>
      </c>
      <c r="I17" s="124">
        <v>42.27</v>
      </c>
      <c r="J17" s="124">
        <v>35.47</v>
      </c>
      <c r="K17" s="125">
        <v>33.479999999999997</v>
      </c>
      <c r="L17" s="125">
        <v>28.25</v>
      </c>
      <c r="M17" s="134">
        <v>25.54</v>
      </c>
    </row>
    <row r="18" spans="1:13" ht="14.4" x14ac:dyDescent="0.3">
      <c r="A18"/>
      <c r="B18" s="20" t="s">
        <v>19</v>
      </c>
      <c r="C18" s="124">
        <v>46.61</v>
      </c>
      <c r="D18" s="130">
        <v>92.92</v>
      </c>
      <c r="E18" s="124">
        <v>60.35</v>
      </c>
      <c r="F18" s="131">
        <v>67.31</v>
      </c>
      <c r="G18" s="132">
        <v>74.41</v>
      </c>
      <c r="H18" s="124">
        <v>53.59</v>
      </c>
      <c r="I18" s="124">
        <v>54.51</v>
      </c>
      <c r="J18" s="124">
        <v>18.84</v>
      </c>
      <c r="K18" s="125">
        <v>22.3</v>
      </c>
      <c r="L18" s="125">
        <v>17.420000000000002</v>
      </c>
      <c r="M18" s="134">
        <v>25.58</v>
      </c>
    </row>
    <row r="19" spans="1:13" ht="14.4" x14ac:dyDescent="0.3">
      <c r="A19"/>
      <c r="B19" s="20" t="s">
        <v>33</v>
      </c>
      <c r="C19" s="124">
        <v>75.599999999999994</v>
      </c>
      <c r="D19" s="130">
        <v>97.85</v>
      </c>
      <c r="E19" s="124">
        <v>73.89</v>
      </c>
      <c r="F19" s="131">
        <v>67.66</v>
      </c>
      <c r="G19" s="132">
        <v>76.78</v>
      </c>
      <c r="H19" s="124">
        <v>62.39</v>
      </c>
      <c r="I19" s="124">
        <v>42.3</v>
      </c>
      <c r="J19" s="124">
        <v>23.1</v>
      </c>
      <c r="K19" s="125">
        <v>18.98</v>
      </c>
      <c r="L19" s="125">
        <v>17.79</v>
      </c>
      <c r="M19" s="134">
        <v>12.17</v>
      </c>
    </row>
    <row r="20" spans="1:13" ht="14.4" x14ac:dyDescent="0.3">
      <c r="A20"/>
      <c r="B20" s="20" t="s">
        <v>27</v>
      </c>
      <c r="C20" s="124">
        <v>51.38</v>
      </c>
      <c r="D20" s="130">
        <v>96.23</v>
      </c>
      <c r="E20" s="124">
        <v>89.14</v>
      </c>
      <c r="F20" s="131">
        <v>82.11</v>
      </c>
      <c r="G20" s="132">
        <v>87.23</v>
      </c>
      <c r="H20" s="124">
        <v>50.46</v>
      </c>
      <c r="I20" s="124">
        <v>38.01</v>
      </c>
      <c r="J20" s="124">
        <v>21.2</v>
      </c>
      <c r="K20" s="125">
        <v>25.41</v>
      </c>
      <c r="L20" s="125">
        <v>24.21</v>
      </c>
      <c r="M20" s="134">
        <v>21.23</v>
      </c>
    </row>
    <row r="21" spans="1:13" ht="14.4" x14ac:dyDescent="0.3">
      <c r="A21"/>
      <c r="B21" s="20" t="s">
        <v>29</v>
      </c>
      <c r="C21" s="124">
        <v>44.08</v>
      </c>
      <c r="D21" s="130">
        <v>75.78</v>
      </c>
      <c r="E21" s="124">
        <v>54.2</v>
      </c>
      <c r="F21" s="131">
        <v>59.13</v>
      </c>
      <c r="G21" s="132">
        <v>39.5</v>
      </c>
      <c r="H21" s="124">
        <v>63.6</v>
      </c>
      <c r="I21" s="124">
        <v>44.04</v>
      </c>
      <c r="J21" s="124">
        <v>18.559999999999999</v>
      </c>
      <c r="K21" s="125">
        <v>27.7</v>
      </c>
      <c r="L21" s="125">
        <v>17.03</v>
      </c>
      <c r="M21" s="134">
        <v>19.760000000000002</v>
      </c>
    </row>
    <row r="22" spans="1:13" ht="14.4" x14ac:dyDescent="0.3">
      <c r="A22"/>
      <c r="B22" s="20" t="s">
        <v>18</v>
      </c>
      <c r="C22" s="124">
        <v>58.06</v>
      </c>
      <c r="D22" s="130">
        <v>92.33</v>
      </c>
      <c r="E22" s="124">
        <v>63.48</v>
      </c>
      <c r="F22" s="131">
        <v>69.67</v>
      </c>
      <c r="G22" s="132">
        <v>80.11</v>
      </c>
      <c r="H22" s="124">
        <v>74.92</v>
      </c>
      <c r="I22" s="124">
        <v>54.98</v>
      </c>
      <c r="J22" s="124">
        <v>18.2</v>
      </c>
      <c r="K22" s="125">
        <v>52.79</v>
      </c>
      <c r="L22" s="125">
        <v>24.01</v>
      </c>
      <c r="M22" s="134">
        <v>25.16</v>
      </c>
    </row>
    <row r="23" spans="1:13" ht="14.4" x14ac:dyDescent="0.3">
      <c r="A23"/>
      <c r="B23" s="20" t="s">
        <v>26</v>
      </c>
      <c r="C23" s="124">
        <v>47.7</v>
      </c>
      <c r="D23" s="130">
        <v>83.79</v>
      </c>
      <c r="E23" s="124">
        <v>77.459999999999994</v>
      </c>
      <c r="F23" s="131">
        <v>75.239999999999995</v>
      </c>
      <c r="G23" s="132">
        <v>69.66</v>
      </c>
      <c r="H23" s="124">
        <v>55.7</v>
      </c>
      <c r="I23" s="124">
        <v>67.63</v>
      </c>
      <c r="J23" s="124">
        <v>31.49</v>
      </c>
      <c r="K23" s="125">
        <v>31.57</v>
      </c>
      <c r="L23" s="125">
        <v>38.520000000000003</v>
      </c>
      <c r="M23" s="134">
        <v>32.51</v>
      </c>
    </row>
    <row r="24" spans="1:13" ht="14.4" x14ac:dyDescent="0.3">
      <c r="A24"/>
      <c r="B24" s="20" t="s">
        <v>32</v>
      </c>
      <c r="C24" s="124">
        <v>47.96</v>
      </c>
      <c r="D24" s="130">
        <v>84.19</v>
      </c>
      <c r="E24" s="124">
        <v>70.180000000000007</v>
      </c>
      <c r="F24" s="131">
        <v>65.64</v>
      </c>
      <c r="G24" s="132">
        <v>63.57</v>
      </c>
      <c r="H24" s="124">
        <v>50.54</v>
      </c>
      <c r="I24" s="124">
        <v>54.29</v>
      </c>
      <c r="J24" s="124">
        <v>23.29</v>
      </c>
      <c r="K24" s="125">
        <v>36.729999999999997</v>
      </c>
      <c r="L24" s="125">
        <v>19.29</v>
      </c>
      <c r="M24" s="134">
        <v>21.7</v>
      </c>
    </row>
    <row r="25" spans="1:13" ht="14.4" x14ac:dyDescent="0.3">
      <c r="A25"/>
      <c r="B25" s="20" t="s">
        <v>14</v>
      </c>
      <c r="C25" s="124">
        <v>74.87</v>
      </c>
      <c r="D25" s="130">
        <v>92.59</v>
      </c>
      <c r="E25" s="124">
        <v>82.7</v>
      </c>
      <c r="F25" s="131">
        <v>83.94</v>
      </c>
      <c r="G25" s="132">
        <v>61.45</v>
      </c>
      <c r="H25" s="124">
        <v>62.21</v>
      </c>
      <c r="I25" s="124">
        <v>56.27</v>
      </c>
      <c r="J25" s="124">
        <v>32.869999999999997</v>
      </c>
      <c r="K25" s="125">
        <v>38.840000000000003</v>
      </c>
      <c r="L25" s="125">
        <v>33.369999999999997</v>
      </c>
      <c r="M25" s="134">
        <v>30.19</v>
      </c>
    </row>
    <row r="26" spans="1:13" ht="14.4" x14ac:dyDescent="0.3">
      <c r="A26"/>
      <c r="B26" s="20" t="s">
        <v>120</v>
      </c>
      <c r="C26" s="124">
        <v>68.489999999999995</v>
      </c>
      <c r="D26" s="130">
        <v>93.01</v>
      </c>
      <c r="E26" s="124">
        <v>86.06</v>
      </c>
      <c r="F26" s="131">
        <v>87.05</v>
      </c>
      <c r="G26" s="132">
        <v>81.36</v>
      </c>
      <c r="H26" s="124">
        <v>77.86</v>
      </c>
      <c r="I26" s="124">
        <v>80.84</v>
      </c>
      <c r="J26" s="124">
        <v>46.81</v>
      </c>
      <c r="K26" s="125">
        <v>38.32</v>
      </c>
      <c r="L26" s="125">
        <v>58.12</v>
      </c>
      <c r="M26" s="134">
        <v>35.520000000000003</v>
      </c>
    </row>
    <row r="27" spans="1:13" ht="14.4" x14ac:dyDescent="0.3">
      <c r="A27"/>
      <c r="B27" s="20" t="s">
        <v>22</v>
      </c>
      <c r="C27" s="124">
        <v>52.08</v>
      </c>
      <c r="D27" s="130">
        <v>76.680000000000007</v>
      </c>
      <c r="E27" s="124">
        <v>57.89</v>
      </c>
      <c r="F27" s="131">
        <v>76.95</v>
      </c>
      <c r="G27" s="132">
        <v>58.88</v>
      </c>
      <c r="H27" s="124">
        <v>39.590000000000003</v>
      </c>
      <c r="I27" s="124">
        <v>34.08</v>
      </c>
      <c r="J27" s="124">
        <v>20.13</v>
      </c>
      <c r="K27" s="125">
        <v>28.95</v>
      </c>
      <c r="L27" s="125">
        <v>24.06</v>
      </c>
      <c r="M27" s="134">
        <v>21.14</v>
      </c>
    </row>
    <row r="28" spans="1:13" ht="14.4" x14ac:dyDescent="0.3">
      <c r="A28"/>
      <c r="B28" s="20" t="s">
        <v>24</v>
      </c>
      <c r="C28" s="124">
        <v>54.71</v>
      </c>
      <c r="D28" s="130">
        <v>68.010000000000005</v>
      </c>
      <c r="E28" s="124">
        <v>49.62</v>
      </c>
      <c r="F28" s="131">
        <v>38.61</v>
      </c>
      <c r="G28" s="132">
        <v>34.14</v>
      </c>
      <c r="H28" s="124">
        <v>30.56</v>
      </c>
      <c r="I28" s="124">
        <v>16.079999999999998</v>
      </c>
      <c r="J28" s="124">
        <v>29.47</v>
      </c>
      <c r="K28" s="125">
        <v>9.82</v>
      </c>
      <c r="L28" s="125">
        <v>25.03</v>
      </c>
      <c r="M28" s="133">
        <v>59.19</v>
      </c>
    </row>
    <row r="29" spans="1:13" ht="14.4" x14ac:dyDescent="0.3">
      <c r="A29"/>
      <c r="B29" s="21" t="s">
        <v>34</v>
      </c>
      <c r="C29" s="125">
        <v>38.71</v>
      </c>
      <c r="D29" s="139">
        <v>89.69</v>
      </c>
      <c r="E29" s="125">
        <v>69.959999999999994</v>
      </c>
      <c r="F29" s="140">
        <v>79.290000000000006</v>
      </c>
      <c r="G29" s="141">
        <v>69.680000000000007</v>
      </c>
      <c r="H29" s="125">
        <v>51.87</v>
      </c>
      <c r="I29" s="125">
        <v>53.75</v>
      </c>
      <c r="J29" s="125">
        <v>33.880000000000003</v>
      </c>
      <c r="K29" s="125">
        <v>39.24</v>
      </c>
      <c r="L29" s="125">
        <v>25.08</v>
      </c>
      <c r="M29" s="134">
        <v>27.76</v>
      </c>
    </row>
    <row r="30" spans="1:13" ht="14.4" x14ac:dyDescent="0.3">
      <c r="A30"/>
      <c r="B30" s="21" t="s">
        <v>35</v>
      </c>
      <c r="C30" s="125">
        <v>24.94</v>
      </c>
      <c r="D30" s="139">
        <v>88.02</v>
      </c>
      <c r="E30" s="125">
        <v>66.89</v>
      </c>
      <c r="F30" s="140">
        <v>70.349999999999994</v>
      </c>
      <c r="G30" s="141">
        <v>66.02</v>
      </c>
      <c r="H30" s="125">
        <v>65.260000000000005</v>
      </c>
      <c r="I30" s="125">
        <v>54.76</v>
      </c>
      <c r="J30" s="125">
        <v>38.5</v>
      </c>
      <c r="K30" s="125">
        <v>30.14</v>
      </c>
      <c r="L30" s="125">
        <v>29.54</v>
      </c>
      <c r="M30" s="134">
        <v>24.89</v>
      </c>
    </row>
    <row r="31" spans="1:13" ht="14.4" x14ac:dyDescent="0.3">
      <c r="A31"/>
      <c r="B31" s="21" t="s">
        <v>31</v>
      </c>
      <c r="C31" s="125">
        <v>48.04</v>
      </c>
      <c r="D31" s="139">
        <v>74.290000000000006</v>
      </c>
      <c r="E31" s="125">
        <v>72.709999999999994</v>
      </c>
      <c r="F31" s="140">
        <v>80.75</v>
      </c>
      <c r="G31" s="141">
        <v>70.25</v>
      </c>
      <c r="H31" s="125">
        <v>45.16</v>
      </c>
      <c r="I31" s="125">
        <v>40.49</v>
      </c>
      <c r="J31" s="125">
        <v>25.92</v>
      </c>
      <c r="K31" s="125">
        <v>28.23</v>
      </c>
      <c r="L31" s="134">
        <v>25.22</v>
      </c>
      <c r="M31" s="134">
        <v>18.399999999999999</v>
      </c>
    </row>
    <row r="32" spans="1:13" ht="14.4" x14ac:dyDescent="0.3">
      <c r="A32"/>
      <c r="B32" s="21" t="s">
        <v>25</v>
      </c>
      <c r="C32" s="125">
        <v>36.44</v>
      </c>
      <c r="D32" s="139">
        <v>90.23</v>
      </c>
      <c r="E32" s="125">
        <v>72.760000000000005</v>
      </c>
      <c r="F32" s="140">
        <v>67.59</v>
      </c>
      <c r="G32" s="141">
        <v>76.61</v>
      </c>
      <c r="H32" s="125">
        <v>58.57</v>
      </c>
      <c r="I32" s="125">
        <v>43.94</v>
      </c>
      <c r="J32" s="125">
        <v>27.49</v>
      </c>
      <c r="K32" s="125">
        <v>26.8</v>
      </c>
      <c r="L32" s="133">
        <v>31.84</v>
      </c>
      <c r="M32" s="133">
        <v>25.52</v>
      </c>
    </row>
    <row r="33" spans="1:13" ht="14.4" x14ac:dyDescent="0.3">
      <c r="A33"/>
      <c r="B33" s="21" t="s">
        <v>17</v>
      </c>
      <c r="C33" s="125">
        <v>79.209999999999994</v>
      </c>
      <c r="D33" s="139">
        <v>91.72</v>
      </c>
      <c r="E33" s="125">
        <v>84.11</v>
      </c>
      <c r="F33" s="140">
        <v>85.99</v>
      </c>
      <c r="G33" s="141">
        <v>74.930000000000007</v>
      </c>
      <c r="H33" s="125">
        <v>77.66</v>
      </c>
      <c r="I33" s="125">
        <v>63.01</v>
      </c>
      <c r="J33" s="125">
        <v>46.64</v>
      </c>
      <c r="K33" s="125">
        <v>27.78</v>
      </c>
      <c r="L33" s="134">
        <v>50.41</v>
      </c>
      <c r="M33" s="134">
        <v>21.93</v>
      </c>
    </row>
    <row r="34" spans="1:13" ht="14.4" x14ac:dyDescent="0.3">
      <c r="A34"/>
      <c r="B34" s="21" t="s">
        <v>98</v>
      </c>
      <c r="C34" s="125">
        <v>72</v>
      </c>
      <c r="D34" s="139">
        <v>91.27</v>
      </c>
      <c r="E34" s="125">
        <v>81.02</v>
      </c>
      <c r="F34" s="140">
        <v>86.58</v>
      </c>
      <c r="G34" s="141">
        <v>69.37</v>
      </c>
      <c r="H34" s="125">
        <v>74.73</v>
      </c>
      <c r="I34" s="125">
        <v>61.53</v>
      </c>
      <c r="J34" s="125">
        <v>22.29</v>
      </c>
      <c r="K34" s="125">
        <v>40.700000000000003</v>
      </c>
      <c r="L34" s="142">
        <v>36.950000000000003</v>
      </c>
      <c r="M34" s="143">
        <v>32.479999999999997</v>
      </c>
    </row>
    <row r="35" spans="1:13" ht="14.4" x14ac:dyDescent="0.3">
      <c r="A35"/>
      <c r="B35" s="23" t="s">
        <v>36</v>
      </c>
      <c r="C35" s="126">
        <v>66.540000000000006</v>
      </c>
      <c r="D35" s="144">
        <v>91.85</v>
      </c>
      <c r="E35" s="126">
        <v>87.16</v>
      </c>
      <c r="F35" s="145">
        <v>89.89</v>
      </c>
      <c r="G35" s="146">
        <v>74.72</v>
      </c>
      <c r="H35" s="126">
        <v>86.02</v>
      </c>
      <c r="I35" s="126">
        <v>77.290000000000006</v>
      </c>
      <c r="J35" s="126">
        <v>43.07</v>
      </c>
      <c r="K35" s="126">
        <v>44.94</v>
      </c>
      <c r="L35" s="147">
        <v>43.31</v>
      </c>
      <c r="M35" s="147">
        <v>37.24</v>
      </c>
    </row>
    <row r="36" spans="1:13" ht="14.4" x14ac:dyDescent="0.3">
      <c r="A36"/>
      <c r="B36" s="23" t="s">
        <v>48</v>
      </c>
      <c r="C36" s="127">
        <v>28.99</v>
      </c>
      <c r="D36" s="146">
        <v>89.72</v>
      </c>
      <c r="E36" s="126">
        <v>67.41</v>
      </c>
      <c r="F36" s="126">
        <v>57.23</v>
      </c>
      <c r="G36" s="126">
        <v>48.14</v>
      </c>
      <c r="H36" s="126">
        <v>59.11</v>
      </c>
      <c r="I36" s="126">
        <v>52.46</v>
      </c>
      <c r="J36" s="126">
        <v>18.04</v>
      </c>
      <c r="K36" s="126">
        <v>28.08</v>
      </c>
      <c r="L36" s="148">
        <v>32.58</v>
      </c>
      <c r="M36" s="148">
        <v>16.600000000000001</v>
      </c>
    </row>
    <row r="37" spans="1:13" ht="14.4" x14ac:dyDescent="0.3">
      <c r="A37"/>
      <c r="B37" s="76" t="s">
        <v>70</v>
      </c>
      <c r="C37" s="128">
        <v>33.36</v>
      </c>
      <c r="D37" s="141">
        <v>66.989999999999995</v>
      </c>
      <c r="E37" s="125">
        <v>59.08</v>
      </c>
      <c r="F37" s="125">
        <v>44.11</v>
      </c>
      <c r="G37" s="125">
        <v>44.13</v>
      </c>
      <c r="H37" s="125">
        <v>47.86</v>
      </c>
      <c r="I37" s="125">
        <v>40.22</v>
      </c>
      <c r="J37" s="125">
        <v>27.71</v>
      </c>
      <c r="K37" s="125">
        <v>32.31</v>
      </c>
      <c r="L37" s="134">
        <v>25.15</v>
      </c>
      <c r="M37" s="134">
        <v>21.37</v>
      </c>
    </row>
    <row r="38" spans="1:13" ht="14.4" x14ac:dyDescent="0.3">
      <c r="A38"/>
      <c r="B38" s="76" t="s">
        <v>37</v>
      </c>
      <c r="C38" s="128">
        <v>41.51</v>
      </c>
      <c r="D38" s="141">
        <v>82.85</v>
      </c>
      <c r="E38" s="125">
        <v>58.85</v>
      </c>
      <c r="F38" s="125">
        <v>42.49</v>
      </c>
      <c r="G38" s="125">
        <v>37.880000000000003</v>
      </c>
      <c r="H38" s="125">
        <v>45.23</v>
      </c>
      <c r="I38" s="125">
        <v>43.2</v>
      </c>
      <c r="J38" s="125">
        <v>17.29</v>
      </c>
      <c r="K38" s="125">
        <v>15.52</v>
      </c>
      <c r="L38" s="125">
        <v>16.77</v>
      </c>
      <c r="M38" s="125">
        <v>10.029999999999999</v>
      </c>
    </row>
    <row r="39" spans="1:13" ht="14.4" x14ac:dyDescent="0.3">
      <c r="A39"/>
      <c r="B39" s="78" t="s">
        <v>89</v>
      </c>
      <c r="C39" s="129">
        <v>20.3</v>
      </c>
      <c r="D39" s="149">
        <v>75.319999999999993</v>
      </c>
      <c r="E39" s="150">
        <v>63.97</v>
      </c>
      <c r="F39" s="150">
        <v>75.95</v>
      </c>
      <c r="G39" s="150">
        <v>54.64</v>
      </c>
      <c r="H39" s="150">
        <v>71.13</v>
      </c>
      <c r="I39" s="150">
        <v>41.28</v>
      </c>
      <c r="J39" s="150">
        <v>30.63</v>
      </c>
      <c r="K39" s="150">
        <v>37.85</v>
      </c>
      <c r="L39" s="151">
        <v>19.62</v>
      </c>
      <c r="M39" s="151">
        <v>31.29</v>
      </c>
    </row>
    <row r="40" spans="1:13" ht="14.4" x14ac:dyDescent="0.3">
      <c r="A40"/>
      <c r="B40" s="24"/>
      <c r="C40" s="72"/>
      <c r="D40" s="73"/>
      <c r="E40" s="73"/>
      <c r="F40" s="73"/>
      <c r="G40" s="73"/>
      <c r="H40" s="73"/>
      <c r="I40" s="73"/>
      <c r="J40" s="73"/>
      <c r="K40" s="73"/>
      <c r="L40" s="74"/>
      <c r="M40" s="74"/>
    </row>
    <row r="41" spans="1:13" ht="14.4" x14ac:dyDescent="0.3">
      <c r="A41"/>
      <c r="B41" s="24"/>
      <c r="C41" s="72"/>
      <c r="D41" s="73"/>
      <c r="E41" s="73"/>
      <c r="F41" s="73"/>
      <c r="G41" s="73"/>
      <c r="H41" s="73"/>
      <c r="I41" s="73"/>
      <c r="J41" s="73"/>
      <c r="K41" s="73"/>
      <c r="L41" s="74"/>
      <c r="M41" s="74"/>
    </row>
    <row r="42" spans="1:13" ht="14.4" customHeight="1" x14ac:dyDescent="0.25">
      <c r="B42" s="14" t="s">
        <v>117</v>
      </c>
      <c r="C42" s="12"/>
      <c r="D42" s="12"/>
      <c r="E42" s="12"/>
      <c r="F42" s="12"/>
      <c r="G42" s="12"/>
      <c r="H42" s="12"/>
      <c r="I42" s="12"/>
      <c r="J42" s="12"/>
      <c r="K42" s="12"/>
    </row>
    <row r="43" spans="1:13" ht="16.2" customHeight="1" x14ac:dyDescent="0.25">
      <c r="B43" s="79" t="s">
        <v>69</v>
      </c>
      <c r="C43" s="12"/>
      <c r="D43" s="12"/>
      <c r="E43" s="12"/>
      <c r="F43" s="12"/>
      <c r="G43" s="12"/>
      <c r="H43" s="12"/>
      <c r="I43" s="12"/>
      <c r="J43" s="12"/>
    </row>
    <row r="44" spans="1:13" ht="14.4" customHeight="1" x14ac:dyDescent="0.25">
      <c r="B44" s="25"/>
      <c r="C44" s="12"/>
      <c r="D44" s="12"/>
      <c r="E44" s="12"/>
      <c r="F44" s="12"/>
      <c r="G44" s="12"/>
      <c r="H44" s="12"/>
      <c r="I44" s="22"/>
      <c r="J44" s="12"/>
    </row>
    <row r="46" spans="1:13" ht="14.4" customHeight="1" x14ac:dyDescent="0.25"/>
    <row r="47" spans="1:13" x14ac:dyDescent="0.25">
      <c r="B47" s="67" t="s">
        <v>121</v>
      </c>
    </row>
    <row r="48" spans="1:13" ht="14.4" x14ac:dyDescent="0.3">
      <c r="B48" s="3" t="s">
        <v>123</v>
      </c>
      <c r="C48" s="168" t="s">
        <v>132</v>
      </c>
    </row>
  </sheetData>
  <mergeCells count="4">
    <mergeCell ref="D6:M6"/>
    <mergeCell ref="D4:M4"/>
    <mergeCell ref="B4:B5"/>
    <mergeCell ref="C4:C5"/>
  </mergeCells>
  <hyperlinks>
    <hyperlink ref="C48" r:id="rId1" xr:uid="{1C1B995C-41BA-4BB8-A895-B941F7C2378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tabColor rgb="FF00B0F0"/>
    <pageSetUpPr fitToPage="1"/>
  </sheetPr>
  <dimension ref="A2:I54"/>
  <sheetViews>
    <sheetView topLeftCell="A7" zoomScaleNormal="100" workbookViewId="0">
      <selection activeCell="C23" sqref="C23"/>
    </sheetView>
  </sheetViews>
  <sheetFormatPr defaultColWidth="9.109375" defaultRowHeight="13.2" x14ac:dyDescent="0.25"/>
  <cols>
    <col min="1" max="1" width="9.109375" style="26" customWidth="1"/>
    <col min="2" max="2" width="25.77734375" style="26" customWidth="1"/>
    <col min="3" max="7" width="15.77734375" style="26" customWidth="1"/>
    <col min="8" max="8" width="9.109375" style="28" customWidth="1"/>
    <col min="9" max="9" width="9.109375" style="29"/>
    <col min="10" max="10" width="9.109375" style="26"/>
    <col min="11" max="13" width="9.109375" style="26" customWidth="1"/>
    <col min="14" max="14" width="9.109375" style="26"/>
    <col min="15" max="28" width="9.109375" style="26" customWidth="1"/>
    <col min="29" max="16384" width="9.109375" style="26"/>
  </cols>
  <sheetData>
    <row r="2" spans="1:8" x14ac:dyDescent="0.25">
      <c r="B2" s="27" t="s">
        <v>112</v>
      </c>
    </row>
    <row r="3" spans="1:8" ht="12.6" customHeight="1" x14ac:dyDescent="0.25">
      <c r="B3" s="2" t="s">
        <v>49</v>
      </c>
    </row>
    <row r="5" spans="1:8" ht="39.6" x14ac:dyDescent="0.25">
      <c r="B5" s="30"/>
      <c r="C5" s="8" t="s">
        <v>113</v>
      </c>
      <c r="D5" s="8" t="s">
        <v>113</v>
      </c>
      <c r="E5" s="8" t="s">
        <v>97</v>
      </c>
      <c r="F5" s="30"/>
      <c r="G5" s="30"/>
      <c r="H5" s="31"/>
    </row>
    <row r="6" spans="1:8" ht="26.4" x14ac:dyDescent="0.25">
      <c r="B6" s="32"/>
      <c r="C6" s="33">
        <v>2023</v>
      </c>
      <c r="D6" s="33">
        <v>2025</v>
      </c>
      <c r="E6" s="33"/>
      <c r="F6" s="33" t="s">
        <v>114</v>
      </c>
      <c r="G6" s="33" t="s">
        <v>115</v>
      </c>
    </row>
    <row r="7" spans="1:8" ht="26.4" x14ac:dyDescent="0.3">
      <c r="A7"/>
      <c r="B7" s="82" t="s">
        <v>111</v>
      </c>
      <c r="C7" s="111">
        <v>32.21</v>
      </c>
      <c r="D7" s="111">
        <v>39.520000000000003</v>
      </c>
      <c r="E7" s="112">
        <f>D7-C7</f>
        <v>7.3100000000000023</v>
      </c>
      <c r="F7" s="112">
        <v>45.32</v>
      </c>
      <c r="G7" s="112">
        <v>52.74</v>
      </c>
      <c r="H7" s="34">
        <v>0</v>
      </c>
    </row>
    <row r="8" spans="1:8" ht="14.4" x14ac:dyDescent="0.3">
      <c r="A8"/>
      <c r="B8" s="82" t="s">
        <v>110</v>
      </c>
      <c r="C8" s="113">
        <v>38.76</v>
      </c>
      <c r="D8" s="113">
        <v>46.57</v>
      </c>
      <c r="E8" s="114">
        <f t="shared" ref="E8:E16" si="0">D8-C8</f>
        <v>7.8100000000000023</v>
      </c>
      <c r="F8" s="114">
        <v>45.32</v>
      </c>
      <c r="G8" s="114">
        <v>52.74</v>
      </c>
      <c r="H8" s="28">
        <v>10</v>
      </c>
    </row>
    <row r="9" spans="1:8" ht="14.4" x14ac:dyDescent="0.3">
      <c r="A9"/>
      <c r="B9" s="82" t="s">
        <v>1</v>
      </c>
      <c r="C9" s="113">
        <v>37.69</v>
      </c>
      <c r="D9" s="113">
        <v>47.47</v>
      </c>
      <c r="E9" s="114">
        <f t="shared" si="0"/>
        <v>9.7800000000000011</v>
      </c>
      <c r="F9" s="114">
        <v>45.32</v>
      </c>
      <c r="G9" s="114">
        <v>52.74</v>
      </c>
      <c r="H9" s="28">
        <v>20</v>
      </c>
    </row>
    <row r="10" spans="1:8" ht="39.6" x14ac:dyDescent="0.3">
      <c r="A10"/>
      <c r="B10" s="82" t="s">
        <v>2</v>
      </c>
      <c r="C10" s="113">
        <v>44.57</v>
      </c>
      <c r="D10" s="113">
        <v>51.34</v>
      </c>
      <c r="E10" s="114">
        <f t="shared" si="0"/>
        <v>6.7700000000000031</v>
      </c>
      <c r="F10" s="114">
        <v>45.32</v>
      </c>
      <c r="G10" s="114">
        <v>52.74</v>
      </c>
      <c r="H10" s="28">
        <v>30</v>
      </c>
    </row>
    <row r="11" spans="1:8" ht="26.4" x14ac:dyDescent="0.3">
      <c r="A11"/>
      <c r="B11" s="82" t="s">
        <v>3</v>
      </c>
      <c r="C11" s="113">
        <v>44.16</v>
      </c>
      <c r="D11" s="113">
        <v>51.96</v>
      </c>
      <c r="E11" s="114">
        <f t="shared" si="0"/>
        <v>7.8000000000000043</v>
      </c>
      <c r="F11" s="114">
        <v>45.32</v>
      </c>
      <c r="G11" s="114">
        <v>52.74</v>
      </c>
      <c r="H11" s="28">
        <v>40</v>
      </c>
    </row>
    <row r="12" spans="1:8" ht="14.4" x14ac:dyDescent="0.3">
      <c r="A12" s="69"/>
      <c r="B12" s="82" t="s">
        <v>0</v>
      </c>
      <c r="C12" s="113">
        <v>45.01</v>
      </c>
      <c r="D12" s="113">
        <v>53.96</v>
      </c>
      <c r="E12" s="114">
        <f t="shared" si="0"/>
        <v>8.9500000000000028</v>
      </c>
      <c r="F12" s="114">
        <v>45.32</v>
      </c>
      <c r="G12" s="114">
        <v>52.74</v>
      </c>
      <c r="H12" s="28">
        <v>50</v>
      </c>
    </row>
    <row r="13" spans="1:8" ht="14.4" x14ac:dyDescent="0.3">
      <c r="A13" s="69"/>
      <c r="B13" s="82" t="s">
        <v>93</v>
      </c>
      <c r="C13" s="113">
        <v>56.13</v>
      </c>
      <c r="D13" s="113">
        <v>61.6</v>
      </c>
      <c r="E13" s="114">
        <f t="shared" si="0"/>
        <v>5.4699999999999989</v>
      </c>
      <c r="F13" s="114">
        <v>45.32</v>
      </c>
      <c r="G13" s="114">
        <v>52.74</v>
      </c>
      <c r="H13" s="28">
        <v>60</v>
      </c>
    </row>
    <row r="14" spans="1:8" ht="66" x14ac:dyDescent="0.3">
      <c r="A14"/>
      <c r="B14" s="82" t="s">
        <v>109</v>
      </c>
      <c r="C14" s="113">
        <v>51.55</v>
      </c>
      <c r="D14" s="113">
        <v>62.11</v>
      </c>
      <c r="E14" s="114">
        <f t="shared" si="0"/>
        <v>10.560000000000002</v>
      </c>
      <c r="F14" s="114">
        <v>45.32</v>
      </c>
      <c r="G14" s="114">
        <v>52.74</v>
      </c>
      <c r="H14" s="28">
        <v>70</v>
      </c>
    </row>
    <row r="15" spans="1:8" ht="26.4" x14ac:dyDescent="0.3">
      <c r="A15" s="69"/>
      <c r="B15" s="82" t="s">
        <v>94</v>
      </c>
      <c r="C15" s="113">
        <v>62.7</v>
      </c>
      <c r="D15" s="113">
        <v>67.39</v>
      </c>
      <c r="E15" s="114">
        <f t="shared" si="0"/>
        <v>4.6899999999999977</v>
      </c>
      <c r="F15" s="114">
        <v>45.32</v>
      </c>
      <c r="G15" s="114">
        <v>52.74</v>
      </c>
      <c r="H15" s="28">
        <v>75</v>
      </c>
    </row>
    <row r="16" spans="1:8" ht="26.4" x14ac:dyDescent="0.3">
      <c r="A16" s="69"/>
      <c r="B16" s="115" t="s">
        <v>95</v>
      </c>
      <c r="C16" s="116">
        <v>79.25</v>
      </c>
      <c r="D16" s="116">
        <v>82.92</v>
      </c>
      <c r="E16" s="117">
        <f t="shared" si="0"/>
        <v>3.6700000000000017</v>
      </c>
      <c r="F16" s="117">
        <v>45.32</v>
      </c>
      <c r="G16" s="117">
        <v>52.74</v>
      </c>
      <c r="H16" s="28">
        <v>80</v>
      </c>
    </row>
    <row r="17" spans="1:9" x14ac:dyDescent="0.25">
      <c r="A17" s="80"/>
      <c r="B17" s="118"/>
      <c r="C17" s="119"/>
      <c r="D17" s="119"/>
      <c r="E17" s="120">
        <f t="shared" ref="E17" si="1">D17-C17</f>
        <v>0</v>
      </c>
      <c r="F17" s="70"/>
      <c r="G17" s="70"/>
      <c r="I17" s="29" t="s">
        <v>47</v>
      </c>
    </row>
    <row r="18" spans="1:9" x14ac:dyDescent="0.25">
      <c r="B18" s="121"/>
      <c r="C18" s="122"/>
      <c r="D18" s="122"/>
      <c r="E18" s="121"/>
      <c r="F18" s="70"/>
      <c r="G18" s="70"/>
    </row>
    <row r="19" spans="1:9" x14ac:dyDescent="0.25">
      <c r="B19" s="36" t="s">
        <v>87</v>
      </c>
      <c r="C19" s="35"/>
      <c r="D19" s="35"/>
      <c r="F19" s="70"/>
      <c r="G19" s="70"/>
      <c r="H19" s="28">
        <v>120</v>
      </c>
    </row>
    <row r="20" spans="1:9" x14ac:dyDescent="0.25">
      <c r="A20" s="35"/>
      <c r="F20" s="70"/>
      <c r="G20" s="70"/>
      <c r="H20" s="28">
        <v>130</v>
      </c>
    </row>
    <row r="21" spans="1:9" x14ac:dyDescent="0.25">
      <c r="A21" s="35"/>
      <c r="B21" s="67" t="s">
        <v>121</v>
      </c>
      <c r="C21" s="12"/>
      <c r="F21" s="70"/>
      <c r="G21" s="70"/>
      <c r="H21" s="28">
        <v>140</v>
      </c>
    </row>
    <row r="22" spans="1:9" ht="14.4" x14ac:dyDescent="0.3">
      <c r="B22" s="12" t="s">
        <v>129</v>
      </c>
      <c r="C22" s="170" t="s">
        <v>131</v>
      </c>
    </row>
    <row r="27" spans="1:9" x14ac:dyDescent="0.25">
      <c r="C27" s="3"/>
      <c r="D27" s="3"/>
      <c r="E27" s="3"/>
      <c r="F27" s="3"/>
    </row>
    <row r="28" spans="1:9" x14ac:dyDescent="0.25">
      <c r="C28" s="3"/>
      <c r="D28" s="3"/>
      <c r="E28" s="3"/>
      <c r="F28" s="3"/>
    </row>
    <row r="29" spans="1:9" x14ac:dyDescent="0.25">
      <c r="C29" s="3"/>
      <c r="D29" s="3"/>
      <c r="E29" s="3"/>
      <c r="F29" s="3"/>
    </row>
    <row r="30" spans="1:9" x14ac:dyDescent="0.25">
      <c r="C30" s="3"/>
      <c r="D30" s="3"/>
      <c r="E30" s="3"/>
      <c r="F30" s="3"/>
    </row>
    <row r="31" spans="1:9" x14ac:dyDescent="0.25">
      <c r="C31" s="3"/>
      <c r="D31" s="3"/>
      <c r="E31" s="3"/>
      <c r="F31" s="3"/>
    </row>
    <row r="32" spans="1:9" x14ac:dyDescent="0.25">
      <c r="C32" s="3"/>
      <c r="D32" s="3"/>
      <c r="E32" s="3"/>
      <c r="F32" s="3"/>
    </row>
    <row r="33" spans="3:6" x14ac:dyDescent="0.25">
      <c r="C33" s="3"/>
      <c r="D33" s="3"/>
      <c r="E33" s="3"/>
      <c r="F33" s="3"/>
    </row>
    <row r="34" spans="3:6" x14ac:dyDescent="0.25">
      <c r="C34" s="3"/>
      <c r="D34" s="3"/>
      <c r="E34" s="3"/>
      <c r="F34" s="3"/>
    </row>
    <row r="35" spans="3:6" x14ac:dyDescent="0.25">
      <c r="C35" s="3"/>
      <c r="D35" s="3"/>
      <c r="E35" s="3"/>
      <c r="F35" s="3"/>
    </row>
    <row r="36" spans="3:6" x14ac:dyDescent="0.25">
      <c r="C36" s="3"/>
      <c r="D36" s="3"/>
      <c r="E36" s="3"/>
      <c r="F36" s="3"/>
    </row>
    <row r="37" spans="3:6" x14ac:dyDescent="0.25">
      <c r="C37" s="3"/>
      <c r="D37" s="3"/>
      <c r="E37" s="3"/>
      <c r="F37" s="3"/>
    </row>
    <row r="38" spans="3:6" x14ac:dyDescent="0.25">
      <c r="C38" s="3"/>
      <c r="D38" s="3"/>
      <c r="E38" s="3"/>
      <c r="F38" s="3"/>
    </row>
    <row r="39" spans="3:6" x14ac:dyDescent="0.25">
      <c r="C39" s="3"/>
      <c r="D39" s="3"/>
      <c r="E39" s="3"/>
      <c r="F39" s="3"/>
    </row>
    <row r="40" spans="3:6" x14ac:dyDescent="0.25">
      <c r="C40" s="3"/>
      <c r="D40" s="3"/>
      <c r="E40" s="3"/>
      <c r="F40" s="3"/>
    </row>
    <row r="41" spans="3:6" x14ac:dyDescent="0.25">
      <c r="C41" s="3"/>
      <c r="D41" s="3"/>
      <c r="E41" s="3"/>
      <c r="F41" s="3"/>
    </row>
    <row r="42" spans="3:6" x14ac:dyDescent="0.25">
      <c r="C42" s="3"/>
      <c r="D42" s="3"/>
      <c r="E42" s="3"/>
      <c r="F42" s="3"/>
    </row>
    <row r="43" spans="3:6" x14ac:dyDescent="0.25">
      <c r="C43" s="3"/>
      <c r="D43" s="3"/>
      <c r="E43" s="3"/>
      <c r="F43" s="3"/>
    </row>
    <row r="44" spans="3:6" x14ac:dyDescent="0.25">
      <c r="C44" s="3"/>
      <c r="D44" s="3"/>
      <c r="E44" s="3"/>
      <c r="F44" s="3"/>
    </row>
    <row r="45" spans="3:6" x14ac:dyDescent="0.25">
      <c r="C45" s="3"/>
      <c r="D45" s="3"/>
      <c r="E45" s="3"/>
      <c r="F45" s="3"/>
    </row>
    <row r="46" spans="3:6" x14ac:dyDescent="0.25">
      <c r="C46" s="37"/>
      <c r="D46" s="37"/>
    </row>
    <row r="47" spans="3:6" x14ac:dyDescent="0.25">
      <c r="C47" s="37"/>
      <c r="D47" s="37"/>
    </row>
    <row r="48" spans="3:6" x14ac:dyDescent="0.25">
      <c r="C48" s="37"/>
      <c r="D48" s="37"/>
    </row>
    <row r="49" spans="3:4" x14ac:dyDescent="0.25">
      <c r="C49" s="37"/>
      <c r="D49" s="37"/>
    </row>
    <row r="50" spans="3:4" x14ac:dyDescent="0.25">
      <c r="C50" s="37"/>
      <c r="D50" s="37"/>
    </row>
    <row r="51" spans="3:4" x14ac:dyDescent="0.25">
      <c r="C51" s="37"/>
      <c r="D51" s="37"/>
    </row>
    <row r="52" spans="3:4" x14ac:dyDescent="0.25">
      <c r="C52" s="37"/>
      <c r="D52" s="37"/>
    </row>
    <row r="53" spans="3:4" x14ac:dyDescent="0.25">
      <c r="C53" s="37"/>
      <c r="D53" s="37"/>
    </row>
    <row r="54" spans="3:4" x14ac:dyDescent="0.25">
      <c r="C54" s="37"/>
      <c r="D54" s="37"/>
    </row>
  </sheetData>
  <sortState xmlns:xlrd2="http://schemas.microsoft.com/office/spreadsheetml/2017/richdata2" ref="B7:D16">
    <sortCondition ref="D7:D16"/>
  </sortState>
  <hyperlinks>
    <hyperlink ref="C22" r:id="rId1" xr:uid="{38C8735A-5EF4-4A16-B3A7-981B4282B8DE}"/>
  </hyperlinks>
  <pageMargins left="0.23622047244094491" right="0.23622047244094491" top="0.74803149606299213" bottom="0.74803149606299213" header="0.31496062992125984" footer="0.31496062992125984"/>
  <pageSetup paperSize="9" scale="53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2:E16"/>
  <sheetViews>
    <sheetView zoomScaleNormal="100" workbookViewId="0">
      <selection activeCell="B15" sqref="B15:B16"/>
    </sheetView>
  </sheetViews>
  <sheetFormatPr defaultColWidth="9.109375" defaultRowHeight="13.2" x14ac:dyDescent="0.25"/>
  <cols>
    <col min="1" max="1" width="9.109375" style="3" customWidth="1"/>
    <col min="2" max="2" width="25.77734375" style="3" customWidth="1"/>
    <col min="3" max="5" width="15.77734375" style="3" customWidth="1"/>
    <col min="6" max="7" width="9.109375" style="3"/>
    <col min="8" max="10" width="9.109375" style="3" customWidth="1"/>
    <col min="11" max="11" width="9.109375" style="3"/>
    <col min="12" max="25" width="9.109375" style="3" customWidth="1"/>
    <col min="26" max="16384" width="9.109375" style="3"/>
  </cols>
  <sheetData>
    <row r="2" spans="1:5" x14ac:dyDescent="0.25">
      <c r="B2" s="4" t="s">
        <v>100</v>
      </c>
    </row>
    <row r="3" spans="1:5" ht="12.6" customHeight="1" x14ac:dyDescent="0.25">
      <c r="B3" s="1" t="s">
        <v>49</v>
      </c>
    </row>
    <row r="5" spans="1:5" ht="39.6" customHeight="1" x14ac:dyDescent="0.25">
      <c r="B5" s="7"/>
      <c r="C5" s="167" t="s">
        <v>106</v>
      </c>
      <c r="D5" s="167"/>
      <c r="E5" s="167"/>
    </row>
    <row r="6" spans="1:5" ht="26.4" x14ac:dyDescent="0.25">
      <c r="B6" s="38"/>
      <c r="C6" s="38">
        <v>2023</v>
      </c>
      <c r="D6" s="38">
        <v>2025</v>
      </c>
      <c r="E6" s="8" t="s">
        <v>97</v>
      </c>
    </row>
    <row r="7" spans="1:5" x14ac:dyDescent="0.25">
      <c r="B7" s="16" t="s">
        <v>50</v>
      </c>
      <c r="C7" s="101">
        <v>45.32</v>
      </c>
      <c r="D7" s="101">
        <v>52.74</v>
      </c>
      <c r="E7" s="101">
        <f t="shared" ref="E7:E9" si="0">D7-C7</f>
        <v>7.4200000000000017</v>
      </c>
    </row>
    <row r="8" spans="1:5" ht="14.4" x14ac:dyDescent="0.3">
      <c r="B8" s="66" t="s">
        <v>71</v>
      </c>
      <c r="C8" s="91">
        <v>41.82</v>
      </c>
      <c r="D8" s="92">
        <v>49.3</v>
      </c>
      <c r="E8" s="92">
        <f t="shared" si="0"/>
        <v>7.4799999999999969</v>
      </c>
    </row>
    <row r="9" spans="1:5" x14ac:dyDescent="0.25">
      <c r="A9" s="6"/>
      <c r="B9" s="67" t="s">
        <v>72</v>
      </c>
      <c r="C9" s="90">
        <v>59.09</v>
      </c>
      <c r="D9" s="90">
        <v>66.78</v>
      </c>
      <c r="E9" s="90">
        <f t="shared" si="0"/>
        <v>7.6899999999999977</v>
      </c>
    </row>
    <row r="10" spans="1:5" x14ac:dyDescent="0.25">
      <c r="A10" s="6"/>
      <c r="B10" s="68" t="s">
        <v>73</v>
      </c>
      <c r="C10" s="93">
        <v>77.77</v>
      </c>
      <c r="D10" s="93">
        <v>84.67</v>
      </c>
      <c r="E10" s="93">
        <f>D10-C10</f>
        <v>6.9000000000000057</v>
      </c>
    </row>
    <row r="11" spans="1:5" x14ac:dyDescent="0.25">
      <c r="A11" s="6"/>
    </row>
    <row r="12" spans="1:5" x14ac:dyDescent="0.25">
      <c r="B12" s="15" t="s">
        <v>69</v>
      </c>
    </row>
    <row r="15" spans="1:5" x14ac:dyDescent="0.25">
      <c r="B15" s="67" t="s">
        <v>121</v>
      </c>
    </row>
    <row r="16" spans="1:5" ht="14.4" x14ac:dyDescent="0.3">
      <c r="B16" s="3" t="s">
        <v>123</v>
      </c>
      <c r="C16" s="168" t="s">
        <v>124</v>
      </c>
    </row>
  </sheetData>
  <sortState xmlns:xlrd2="http://schemas.microsoft.com/office/spreadsheetml/2017/richdata2" ref="B8:D10">
    <sortCondition ref="D8:D10"/>
  </sortState>
  <mergeCells count="1">
    <mergeCell ref="C5:E5"/>
  </mergeCells>
  <hyperlinks>
    <hyperlink ref="C16" r:id="rId1" xr:uid="{6261BAD4-D862-4124-9623-11BC39F0C8C9}"/>
  </hyperlinks>
  <pageMargins left="0.23622047244094491" right="0.23622047244094491" top="0.74803149606299213" bottom="0.74803149606299213" header="0.31496062992125984" footer="0.31496062992125984"/>
  <pageSetup paperSize="9" scale="64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rgb="FF00B0F0"/>
  </sheetPr>
  <dimension ref="A1:U29"/>
  <sheetViews>
    <sheetView zoomScaleNormal="100" workbookViewId="0">
      <selection activeCell="B20" sqref="B20:B21"/>
    </sheetView>
  </sheetViews>
  <sheetFormatPr defaultColWidth="9.109375" defaultRowHeight="13.2" x14ac:dyDescent="0.25"/>
  <cols>
    <col min="1" max="1" width="9.109375" style="3" customWidth="1"/>
    <col min="2" max="2" width="25.77734375" style="3" customWidth="1"/>
    <col min="3" max="6" width="15.77734375" style="3" customWidth="1"/>
    <col min="7" max="7" width="10.44140625" style="3" bestFit="1" customWidth="1"/>
    <col min="8" max="8" width="10.33203125" style="3" bestFit="1" customWidth="1"/>
    <col min="9" max="9" width="10.109375" style="3" bestFit="1" customWidth="1"/>
    <col min="10" max="10" width="9.6640625" style="3" bestFit="1" customWidth="1"/>
    <col min="11" max="16384" width="9.109375" style="3"/>
  </cols>
  <sheetData>
    <row r="1" spans="1:9" x14ac:dyDescent="0.25">
      <c r="B1" s="12"/>
      <c r="C1" s="12"/>
      <c r="D1" s="12"/>
      <c r="E1" s="12"/>
    </row>
    <row r="2" spans="1:9" x14ac:dyDescent="0.25">
      <c r="B2" s="11" t="s">
        <v>107</v>
      </c>
      <c r="C2" s="39"/>
      <c r="D2" s="12"/>
      <c r="E2" s="12"/>
    </row>
    <row r="3" spans="1:9" x14ac:dyDescent="0.25">
      <c r="B3" s="14" t="s">
        <v>103</v>
      </c>
      <c r="C3" s="12"/>
      <c r="D3" s="12"/>
      <c r="E3" s="12"/>
    </row>
    <row r="4" spans="1:9" x14ac:dyDescent="0.25">
      <c r="B4" s="6"/>
      <c r="C4" s="6"/>
      <c r="D4" s="6"/>
      <c r="E4" s="6"/>
      <c r="F4" s="6"/>
      <c r="G4" s="6"/>
      <c r="H4" s="6"/>
      <c r="I4" s="6"/>
    </row>
    <row r="5" spans="1:9" ht="26.4" x14ac:dyDescent="0.25">
      <c r="B5" s="40"/>
      <c r="C5" s="40"/>
      <c r="D5" s="40">
        <v>2023</v>
      </c>
      <c r="E5" s="40">
        <v>2025</v>
      </c>
      <c r="F5" s="41" t="s">
        <v>97</v>
      </c>
    </row>
    <row r="6" spans="1:9" x14ac:dyDescent="0.25">
      <c r="B6" s="42" t="s">
        <v>4</v>
      </c>
      <c r="C6" s="105" t="s">
        <v>43</v>
      </c>
      <c r="D6" s="106">
        <v>82.73</v>
      </c>
      <c r="E6" s="106">
        <v>85.15</v>
      </c>
      <c r="F6" s="106">
        <v>2.4200000000000017</v>
      </c>
      <c r="G6" s="43"/>
    </row>
    <row r="7" spans="1:9" x14ac:dyDescent="0.25">
      <c r="B7" s="42" t="s">
        <v>5</v>
      </c>
      <c r="C7" s="105" t="s">
        <v>46</v>
      </c>
      <c r="D7" s="106">
        <v>66.27</v>
      </c>
      <c r="E7" s="106">
        <v>71.69</v>
      </c>
      <c r="F7" s="106">
        <v>5.4200000000000017</v>
      </c>
      <c r="G7" s="43"/>
    </row>
    <row r="8" spans="1:9" x14ac:dyDescent="0.25">
      <c r="B8" s="42" t="s">
        <v>6</v>
      </c>
      <c r="C8" s="105" t="s">
        <v>45</v>
      </c>
      <c r="D8" s="106">
        <v>68.010000000000005</v>
      </c>
      <c r="E8" s="106">
        <v>71.53</v>
      </c>
      <c r="F8" s="106">
        <v>3.519999999999996</v>
      </c>
      <c r="G8" s="43"/>
    </row>
    <row r="9" spans="1:9" ht="12" customHeight="1" x14ac:dyDescent="0.25">
      <c r="B9" s="42" t="s">
        <v>55</v>
      </c>
      <c r="C9" s="105" t="s">
        <v>52</v>
      </c>
      <c r="D9" s="106">
        <v>61.03</v>
      </c>
      <c r="E9" s="106">
        <v>65.489999999999995</v>
      </c>
      <c r="F9" s="106">
        <v>4.4599999999999937</v>
      </c>
      <c r="G9" s="43"/>
    </row>
    <row r="10" spans="1:9" ht="26.4" x14ac:dyDescent="0.25">
      <c r="B10" s="42" t="s">
        <v>8</v>
      </c>
      <c r="C10" s="105" t="s">
        <v>44</v>
      </c>
      <c r="D10" s="106">
        <v>51.64</v>
      </c>
      <c r="E10" s="106">
        <v>58.16</v>
      </c>
      <c r="F10" s="106">
        <v>6.519999999999996</v>
      </c>
      <c r="G10" s="43"/>
      <c r="H10" s="44"/>
      <c r="I10" s="44"/>
    </row>
    <row r="11" spans="1:9" ht="26.4" x14ac:dyDescent="0.25">
      <c r="B11" s="42" t="s">
        <v>7</v>
      </c>
      <c r="C11" s="105" t="s">
        <v>42</v>
      </c>
      <c r="D11" s="106">
        <v>43.06</v>
      </c>
      <c r="E11" s="106">
        <v>45.52</v>
      </c>
      <c r="F11" s="106">
        <v>2.4600000000000009</v>
      </c>
      <c r="G11" s="43"/>
    </row>
    <row r="12" spans="1:9" x14ac:dyDescent="0.25">
      <c r="A12" s="10"/>
      <c r="B12" s="42" t="s">
        <v>56</v>
      </c>
      <c r="C12" s="105" t="s">
        <v>53</v>
      </c>
      <c r="D12" s="106">
        <v>25.89</v>
      </c>
      <c r="E12" s="106">
        <v>30.12</v>
      </c>
      <c r="F12" s="106">
        <v>4.2300000000000004</v>
      </c>
      <c r="G12" s="43"/>
    </row>
    <row r="13" spans="1:9" ht="26.4" x14ac:dyDescent="0.25">
      <c r="B13" s="42" t="s">
        <v>10</v>
      </c>
      <c r="C13" s="107" t="s">
        <v>40</v>
      </c>
      <c r="D13" s="106">
        <v>25.42</v>
      </c>
      <c r="E13" s="106">
        <v>28.18</v>
      </c>
      <c r="F13" s="106">
        <v>2.759999999999998</v>
      </c>
      <c r="G13" s="43"/>
    </row>
    <row r="14" spans="1:9" x14ac:dyDescent="0.25">
      <c r="B14" s="42" t="s">
        <v>9</v>
      </c>
      <c r="C14" s="107" t="s">
        <v>41</v>
      </c>
      <c r="D14" s="106">
        <v>25.03</v>
      </c>
      <c r="E14" s="106">
        <v>27.91</v>
      </c>
      <c r="F14" s="108">
        <v>2.879999999999999</v>
      </c>
      <c r="G14" s="43"/>
    </row>
    <row r="15" spans="1:9" ht="39.6" x14ac:dyDescent="0.25">
      <c r="B15" s="45" t="s">
        <v>59</v>
      </c>
      <c r="C15" s="109" t="s">
        <v>54</v>
      </c>
      <c r="D15" s="110">
        <v>26.17</v>
      </c>
      <c r="E15" s="110">
        <v>26.08</v>
      </c>
      <c r="F15" s="110">
        <v>-9.0000000000003411E-2</v>
      </c>
      <c r="G15" s="43"/>
    </row>
    <row r="17" spans="2:21" x14ac:dyDescent="0.25">
      <c r="B17" s="15" t="s">
        <v>69</v>
      </c>
    </row>
    <row r="20" spans="2:21" x14ac:dyDescent="0.25">
      <c r="B20" s="67" t="s">
        <v>121</v>
      </c>
    </row>
    <row r="21" spans="2:21" ht="14.4" x14ac:dyDescent="0.3">
      <c r="B21" s="3" t="s">
        <v>123</v>
      </c>
      <c r="C21" s="168" t="s">
        <v>125</v>
      </c>
    </row>
    <row r="23" spans="2:21" x14ac:dyDescent="0.25">
      <c r="C23" s="43"/>
      <c r="D23" s="43"/>
      <c r="E23" s="43"/>
    </row>
    <row r="24" spans="2:21" x14ac:dyDescent="0.25">
      <c r="C24" s="43"/>
      <c r="D24" s="43"/>
      <c r="E24" s="43"/>
    </row>
    <row r="25" spans="2:21" x14ac:dyDescent="0.25">
      <c r="C25" s="43"/>
      <c r="D25" s="43"/>
      <c r="E25" s="43"/>
    </row>
    <row r="26" spans="2:21" x14ac:dyDescent="0.25">
      <c r="C26" s="43"/>
      <c r="D26" s="43"/>
      <c r="E26" s="43"/>
      <c r="O26" s="43"/>
      <c r="P26" s="43"/>
      <c r="Q26" s="43"/>
      <c r="R26" s="43"/>
      <c r="S26" s="43"/>
      <c r="T26" s="43"/>
      <c r="U26" s="43"/>
    </row>
    <row r="27" spans="2:21" x14ac:dyDescent="0.25">
      <c r="C27" s="43"/>
      <c r="D27" s="43"/>
      <c r="E27" s="43"/>
      <c r="O27" s="43"/>
      <c r="P27" s="43"/>
      <c r="Q27" s="43"/>
      <c r="R27" s="43"/>
      <c r="S27" s="43"/>
      <c r="T27" s="43"/>
      <c r="U27" s="43"/>
    </row>
    <row r="28" spans="2:21" x14ac:dyDescent="0.25">
      <c r="C28" s="43"/>
      <c r="D28" s="43"/>
      <c r="E28" s="43"/>
      <c r="O28" s="43"/>
      <c r="P28" s="43"/>
      <c r="Q28" s="43"/>
      <c r="R28" s="43"/>
      <c r="S28" s="43"/>
      <c r="T28" s="43"/>
      <c r="U28" s="43"/>
    </row>
    <row r="29" spans="2:21" x14ac:dyDescent="0.25">
      <c r="C29" s="43"/>
      <c r="D29" s="43"/>
      <c r="E29" s="43"/>
    </row>
  </sheetData>
  <sortState xmlns:xlrd2="http://schemas.microsoft.com/office/spreadsheetml/2017/richdata2" ref="B6:F15">
    <sortCondition descending="1" ref="E6:E15"/>
  </sortState>
  <hyperlinks>
    <hyperlink ref="C21" r:id="rId1" xr:uid="{CD057494-19DD-4730-9BD3-5CE4220D2A88}"/>
  </hyperlinks>
  <pageMargins left="0.7" right="0.7" top="0.75" bottom="0.75" header="0.3" footer="0.3"/>
  <pageSetup paperSize="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2:E16"/>
  <sheetViews>
    <sheetView zoomScaleNormal="100" workbookViewId="0">
      <selection activeCell="B15" sqref="B15:B16"/>
    </sheetView>
  </sheetViews>
  <sheetFormatPr defaultRowHeight="13.2" x14ac:dyDescent="0.25"/>
  <cols>
    <col min="1" max="1" width="8.88671875" style="3"/>
    <col min="2" max="2" width="21.77734375" style="3" customWidth="1"/>
    <col min="3" max="5" width="15.77734375" style="3" customWidth="1"/>
    <col min="6" max="16384" width="8.88671875" style="3"/>
  </cols>
  <sheetData>
    <row r="2" spans="2:5" x14ac:dyDescent="0.25">
      <c r="B2" s="4" t="s">
        <v>105</v>
      </c>
    </row>
    <row r="3" spans="2:5" x14ac:dyDescent="0.25">
      <c r="B3" s="14" t="s">
        <v>103</v>
      </c>
    </row>
    <row r="5" spans="2:5" ht="52.8" x14ac:dyDescent="0.25">
      <c r="B5" s="7"/>
      <c r="C5" s="46" t="s">
        <v>68</v>
      </c>
      <c r="D5" s="46" t="s">
        <v>90</v>
      </c>
      <c r="E5" s="46" t="s">
        <v>91</v>
      </c>
    </row>
    <row r="6" spans="2:5" x14ac:dyDescent="0.25">
      <c r="B6" s="47"/>
      <c r="C6" s="48" t="s">
        <v>65</v>
      </c>
      <c r="D6" s="48" t="s">
        <v>66</v>
      </c>
      <c r="E6" s="48" t="s">
        <v>67</v>
      </c>
    </row>
    <row r="7" spans="2:5" x14ac:dyDescent="0.25">
      <c r="B7" s="49" t="s">
        <v>50</v>
      </c>
      <c r="C7" s="101">
        <v>77.25</v>
      </c>
      <c r="D7" s="101">
        <v>26.08</v>
      </c>
      <c r="E7" s="101">
        <v>96.44</v>
      </c>
    </row>
    <row r="8" spans="2:5" x14ac:dyDescent="0.25">
      <c r="B8" s="66" t="s">
        <v>71</v>
      </c>
      <c r="C8" s="91">
        <v>75.819999999999993</v>
      </c>
      <c r="D8" s="91">
        <v>22.59</v>
      </c>
      <c r="E8" s="91">
        <v>96.26</v>
      </c>
    </row>
    <row r="9" spans="2:5" x14ac:dyDescent="0.25">
      <c r="B9" s="67" t="s">
        <v>72</v>
      </c>
      <c r="C9" s="90">
        <v>80.83</v>
      </c>
      <c r="D9" s="90">
        <v>34.5</v>
      </c>
      <c r="E9" s="90">
        <v>96.82</v>
      </c>
    </row>
    <row r="10" spans="2:5" x14ac:dyDescent="0.25">
      <c r="B10" s="68" t="s">
        <v>73</v>
      </c>
      <c r="C10" s="93">
        <v>87.67</v>
      </c>
      <c r="D10" s="93">
        <v>52.86</v>
      </c>
      <c r="E10" s="93">
        <v>97.94</v>
      </c>
    </row>
    <row r="11" spans="2:5" x14ac:dyDescent="0.25">
      <c r="B11" s="1"/>
      <c r="C11" s="43"/>
      <c r="D11" s="43"/>
    </row>
    <row r="12" spans="2:5" x14ac:dyDescent="0.25">
      <c r="B12" s="25" t="s">
        <v>69</v>
      </c>
      <c r="C12" s="43"/>
      <c r="D12" s="43"/>
    </row>
    <row r="13" spans="2:5" x14ac:dyDescent="0.25">
      <c r="B13" s="1"/>
      <c r="C13" s="43"/>
      <c r="D13" s="43"/>
    </row>
    <row r="14" spans="2:5" x14ac:dyDescent="0.25">
      <c r="C14" s="90"/>
      <c r="D14" s="43"/>
    </row>
    <row r="15" spans="2:5" x14ac:dyDescent="0.25">
      <c r="B15" s="67" t="s">
        <v>121</v>
      </c>
      <c r="C15" s="90"/>
      <c r="D15" s="43"/>
    </row>
    <row r="16" spans="2:5" ht="14.4" x14ac:dyDescent="0.3">
      <c r="B16" s="3" t="s">
        <v>123</v>
      </c>
      <c r="C16" s="168" t="s">
        <v>126</v>
      </c>
      <c r="D16" s="43"/>
    </row>
  </sheetData>
  <sortState xmlns:xlrd2="http://schemas.microsoft.com/office/spreadsheetml/2017/richdata2" ref="B8:E10">
    <sortCondition ref="C8:C10"/>
  </sortState>
  <hyperlinks>
    <hyperlink ref="C16" r:id="rId1" xr:uid="{F76F31E0-163F-4372-928B-20B07786B06C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rgb="FF00B0F0"/>
    <pageSetUpPr fitToPage="1"/>
  </sheetPr>
  <dimension ref="A2:P89"/>
  <sheetViews>
    <sheetView topLeftCell="A36" zoomScaleNormal="100" workbookViewId="0">
      <selection activeCell="B47" sqref="B47:B48"/>
    </sheetView>
  </sheetViews>
  <sheetFormatPr defaultColWidth="9.109375" defaultRowHeight="13.2" x14ac:dyDescent="0.25"/>
  <cols>
    <col min="1" max="1" width="9.109375" style="3" customWidth="1"/>
    <col min="2" max="2" width="26.77734375" style="3" customWidth="1"/>
    <col min="3" max="4" width="15.77734375" style="3" customWidth="1"/>
    <col min="5" max="5" width="9.109375" style="3" customWidth="1"/>
    <col min="6" max="8" width="9.109375" style="10" customWidth="1"/>
    <col min="9" max="12" width="9.109375" style="10"/>
    <col min="13" max="22" width="9.109375" style="3"/>
    <col min="23" max="23" width="9.109375" style="3" customWidth="1"/>
    <col min="24" max="16384" width="9.109375" style="3"/>
  </cols>
  <sheetData>
    <row r="2" spans="1:7" x14ac:dyDescent="0.25">
      <c r="B2" s="4" t="s">
        <v>104</v>
      </c>
    </row>
    <row r="3" spans="1:7" ht="13.5" customHeight="1" x14ac:dyDescent="0.25">
      <c r="B3" s="1" t="s">
        <v>49</v>
      </c>
    </row>
    <row r="4" spans="1:7" ht="13.5" customHeight="1" x14ac:dyDescent="0.25"/>
    <row r="5" spans="1:7" ht="26.4" x14ac:dyDescent="0.25">
      <c r="B5" s="7"/>
      <c r="C5" s="51" t="s">
        <v>92</v>
      </c>
      <c r="D5" s="51" t="s">
        <v>51</v>
      </c>
    </row>
    <row r="6" spans="1:7" ht="13.5" customHeight="1" x14ac:dyDescent="0.25">
      <c r="B6" s="7"/>
      <c r="C6" s="7" t="s">
        <v>38</v>
      </c>
      <c r="D6" s="47" t="s">
        <v>58</v>
      </c>
    </row>
    <row r="7" spans="1:7" ht="13.5" customHeight="1" x14ac:dyDescent="0.25">
      <c r="B7" s="16" t="s">
        <v>57</v>
      </c>
      <c r="C7" s="97">
        <v>52.74</v>
      </c>
      <c r="D7" s="97">
        <v>40.89</v>
      </c>
      <c r="G7" s="52"/>
    </row>
    <row r="8" spans="1:7" ht="13.5" customHeight="1" x14ac:dyDescent="0.25">
      <c r="C8" s="6"/>
      <c r="D8" s="43"/>
      <c r="G8" s="52"/>
    </row>
    <row r="9" spans="1:7" ht="13.5" customHeight="1" x14ac:dyDescent="0.3">
      <c r="A9"/>
      <c r="B9" s="67" t="s">
        <v>17</v>
      </c>
      <c r="C9" s="95">
        <v>79.209999999999994</v>
      </c>
      <c r="D9" s="90">
        <v>65.900000000000006</v>
      </c>
      <c r="G9" s="52"/>
    </row>
    <row r="10" spans="1:7" ht="13.5" customHeight="1" x14ac:dyDescent="0.3">
      <c r="A10"/>
      <c r="B10" s="67" t="s">
        <v>33</v>
      </c>
      <c r="C10" s="95">
        <v>75.599999999999994</v>
      </c>
      <c r="D10" s="90">
        <v>61.9</v>
      </c>
      <c r="G10" s="52"/>
    </row>
    <row r="11" spans="1:7" ht="13.5" customHeight="1" x14ac:dyDescent="0.3">
      <c r="A11"/>
      <c r="B11" s="67" t="s">
        <v>14</v>
      </c>
      <c r="C11" s="95">
        <v>74.87</v>
      </c>
      <c r="D11" s="90">
        <v>56.57</v>
      </c>
      <c r="G11" s="52"/>
    </row>
    <row r="12" spans="1:7" ht="13.5" customHeight="1" x14ac:dyDescent="0.3">
      <c r="A12"/>
      <c r="B12" s="67" t="s">
        <v>16</v>
      </c>
      <c r="C12" s="95">
        <v>73.040000000000006</v>
      </c>
      <c r="D12" s="90">
        <v>46.92</v>
      </c>
      <c r="G12" s="52"/>
    </row>
    <row r="13" spans="1:7" ht="13.5" customHeight="1" x14ac:dyDescent="0.3">
      <c r="A13"/>
      <c r="B13" s="67" t="s">
        <v>98</v>
      </c>
      <c r="C13" s="95">
        <v>72</v>
      </c>
      <c r="D13" s="90">
        <v>59.41</v>
      </c>
      <c r="G13" s="52"/>
    </row>
    <row r="14" spans="1:7" ht="13.5" customHeight="1" x14ac:dyDescent="0.3">
      <c r="A14"/>
      <c r="B14" s="67" t="s">
        <v>15</v>
      </c>
      <c r="C14" s="95">
        <v>68.88</v>
      </c>
      <c r="D14" s="90">
        <v>64.98</v>
      </c>
      <c r="G14" s="52"/>
    </row>
    <row r="15" spans="1:7" ht="13.5" customHeight="1" x14ac:dyDescent="0.3">
      <c r="A15"/>
      <c r="B15" s="67" t="s">
        <v>20</v>
      </c>
      <c r="C15" s="95">
        <v>68.489999999999995</v>
      </c>
      <c r="D15" s="90">
        <v>62</v>
      </c>
      <c r="G15" s="52"/>
    </row>
    <row r="16" spans="1:7" ht="13.5" customHeight="1" x14ac:dyDescent="0.3">
      <c r="A16"/>
      <c r="B16" s="67" t="s">
        <v>12</v>
      </c>
      <c r="C16" s="94">
        <v>61.62</v>
      </c>
      <c r="D16" s="90">
        <v>53.39</v>
      </c>
      <c r="G16" s="52"/>
    </row>
    <row r="17" spans="1:16" ht="13.5" customHeight="1" x14ac:dyDescent="0.3">
      <c r="A17"/>
      <c r="B17" s="67" t="s">
        <v>28</v>
      </c>
      <c r="C17" s="95">
        <v>60.66</v>
      </c>
      <c r="D17" s="90">
        <v>41.9</v>
      </c>
      <c r="G17" s="52"/>
    </row>
    <row r="18" spans="1:16" ht="13.5" customHeight="1" x14ac:dyDescent="0.3">
      <c r="A18"/>
      <c r="B18" s="67" t="s">
        <v>18</v>
      </c>
      <c r="C18" s="95">
        <v>58.06</v>
      </c>
      <c r="D18" s="90">
        <v>51.16</v>
      </c>
      <c r="G18" s="52"/>
    </row>
    <row r="19" spans="1:16" ht="13.5" customHeight="1" x14ac:dyDescent="0.3">
      <c r="A19"/>
      <c r="B19" s="67" t="s">
        <v>39</v>
      </c>
      <c r="C19" s="95">
        <v>54.9</v>
      </c>
      <c r="D19" s="90">
        <v>36.409999999999997</v>
      </c>
      <c r="G19" s="52"/>
    </row>
    <row r="20" spans="1:16" ht="13.5" customHeight="1" x14ac:dyDescent="0.3">
      <c r="A20"/>
      <c r="B20" s="67" t="s">
        <v>24</v>
      </c>
      <c r="C20" s="95">
        <v>54.71</v>
      </c>
      <c r="D20" s="90">
        <v>40.15</v>
      </c>
      <c r="G20" s="52"/>
    </row>
    <row r="21" spans="1:16" ht="13.5" customHeight="1" x14ac:dyDescent="0.3">
      <c r="A21"/>
      <c r="B21" s="67" t="s">
        <v>23</v>
      </c>
      <c r="C21" s="95">
        <v>53.91</v>
      </c>
      <c r="D21" s="90">
        <v>38.26</v>
      </c>
      <c r="G21" s="52"/>
    </row>
    <row r="22" spans="1:16" ht="13.5" customHeight="1" x14ac:dyDescent="0.3">
      <c r="A22"/>
      <c r="B22" s="67" t="s">
        <v>22</v>
      </c>
      <c r="C22" s="95">
        <v>52.08</v>
      </c>
      <c r="D22" s="90">
        <v>35.86</v>
      </c>
      <c r="G22" s="52"/>
    </row>
    <row r="23" spans="1:16" ht="13.5" customHeight="1" x14ac:dyDescent="0.3">
      <c r="A23"/>
      <c r="B23" s="67" t="s">
        <v>27</v>
      </c>
      <c r="C23" s="95">
        <v>51.38</v>
      </c>
      <c r="D23" s="90">
        <v>46.64</v>
      </c>
      <c r="G23" s="52"/>
    </row>
    <row r="24" spans="1:16" ht="13.5" customHeight="1" x14ac:dyDescent="0.3">
      <c r="A24"/>
      <c r="B24" s="67" t="s">
        <v>31</v>
      </c>
      <c r="C24" s="95">
        <v>48.04</v>
      </c>
      <c r="D24" s="90">
        <v>37.56</v>
      </c>
      <c r="G24" s="52"/>
    </row>
    <row r="25" spans="1:16" ht="13.5" customHeight="1" x14ac:dyDescent="0.3">
      <c r="A25"/>
      <c r="B25" s="67" t="s">
        <v>32</v>
      </c>
      <c r="C25" s="95">
        <v>47.96</v>
      </c>
      <c r="D25" s="90">
        <v>36.479999999999997</v>
      </c>
      <c r="G25" s="52"/>
    </row>
    <row r="26" spans="1:16" ht="13.5" customHeight="1" x14ac:dyDescent="0.3">
      <c r="A26"/>
      <c r="B26" s="67" t="s">
        <v>26</v>
      </c>
      <c r="C26" s="95">
        <v>47.7</v>
      </c>
      <c r="D26" s="90">
        <v>40.770000000000003</v>
      </c>
      <c r="G26" s="52"/>
    </row>
    <row r="27" spans="1:16" ht="13.5" customHeight="1" x14ac:dyDescent="0.3">
      <c r="A27"/>
      <c r="B27" s="67" t="s">
        <v>19</v>
      </c>
      <c r="C27" s="95">
        <v>46.61</v>
      </c>
      <c r="D27" s="90">
        <v>41.38</v>
      </c>
      <c r="G27" s="52"/>
    </row>
    <row r="28" spans="1:16" ht="13.5" customHeight="1" x14ac:dyDescent="0.3">
      <c r="A28"/>
      <c r="B28" s="67" t="s">
        <v>29</v>
      </c>
      <c r="C28" s="95">
        <v>44.08</v>
      </c>
      <c r="D28" s="90">
        <v>26.12</v>
      </c>
      <c r="G28" s="52"/>
    </row>
    <row r="29" spans="1:16" ht="13.5" customHeight="1" x14ac:dyDescent="0.3">
      <c r="A29"/>
      <c r="B29" s="67" t="s">
        <v>30</v>
      </c>
      <c r="C29" s="95">
        <v>41.65</v>
      </c>
      <c r="D29" s="90">
        <v>33.700000000000003</v>
      </c>
      <c r="G29" s="52"/>
    </row>
    <row r="30" spans="1:16" ht="13.5" customHeight="1" x14ac:dyDescent="0.3">
      <c r="A30"/>
      <c r="B30" s="67" t="s">
        <v>99</v>
      </c>
      <c r="C30" s="95">
        <v>40.409999999999997</v>
      </c>
      <c r="D30" s="90">
        <v>30.89</v>
      </c>
      <c r="G30" s="52"/>
    </row>
    <row r="31" spans="1:16" ht="13.5" customHeight="1" x14ac:dyDescent="0.3">
      <c r="A31"/>
      <c r="B31" s="67" t="s">
        <v>34</v>
      </c>
      <c r="C31" s="95">
        <v>38.71</v>
      </c>
      <c r="D31" s="90">
        <v>31.31</v>
      </c>
      <c r="G31" s="52"/>
    </row>
    <row r="32" spans="1:16" ht="13.5" customHeight="1" x14ac:dyDescent="0.3">
      <c r="A32"/>
      <c r="B32" s="67" t="s">
        <v>25</v>
      </c>
      <c r="C32" s="95">
        <v>36.44</v>
      </c>
      <c r="D32" s="90">
        <v>30.68</v>
      </c>
      <c r="E32" s="12"/>
      <c r="F32" s="81"/>
      <c r="G32" s="52"/>
      <c r="H32" s="81"/>
      <c r="I32" s="81"/>
      <c r="J32" s="81"/>
      <c r="K32" s="81"/>
      <c r="L32" s="81"/>
      <c r="M32" s="12"/>
      <c r="N32" s="12"/>
      <c r="O32" s="12"/>
      <c r="P32" s="12"/>
    </row>
    <row r="33" spans="1:16" ht="13.5" customHeight="1" x14ac:dyDescent="0.3">
      <c r="A33"/>
      <c r="B33" s="67" t="s">
        <v>35</v>
      </c>
      <c r="C33" s="95">
        <v>24.94</v>
      </c>
      <c r="D33" s="90">
        <v>18.86</v>
      </c>
      <c r="E33" s="12"/>
      <c r="F33" s="81"/>
      <c r="G33" s="81"/>
      <c r="H33" s="81"/>
      <c r="I33" s="81"/>
      <c r="J33" s="81"/>
      <c r="K33" s="81"/>
      <c r="L33" s="81"/>
      <c r="M33" s="12"/>
      <c r="N33" s="12"/>
      <c r="O33" s="12"/>
      <c r="P33" s="12"/>
    </row>
    <row r="34" spans="1:16" ht="13.5" customHeight="1" x14ac:dyDescent="0.3">
      <c r="A34"/>
      <c r="B34" s="67" t="s">
        <v>21</v>
      </c>
      <c r="C34" s="95">
        <v>24.33</v>
      </c>
      <c r="D34" s="90">
        <v>18.53</v>
      </c>
      <c r="E34" s="12"/>
      <c r="F34" s="81"/>
      <c r="G34" s="81"/>
      <c r="H34" s="81"/>
      <c r="I34" s="81"/>
      <c r="J34" s="81"/>
      <c r="K34" s="81"/>
      <c r="L34" s="81"/>
      <c r="M34" s="12"/>
      <c r="N34" s="12"/>
      <c r="O34" s="12"/>
      <c r="P34" s="12"/>
    </row>
    <row r="35" spans="1:16" ht="13.5" customHeight="1" x14ac:dyDescent="0.3">
      <c r="A35"/>
      <c r="B35" s="67" t="s">
        <v>13</v>
      </c>
      <c r="C35" s="95">
        <v>17.829999999999998</v>
      </c>
      <c r="D35" s="90">
        <v>13.91</v>
      </c>
      <c r="E35" s="12"/>
      <c r="F35" s="81"/>
      <c r="G35" s="81"/>
      <c r="H35" s="81"/>
      <c r="I35" s="81"/>
      <c r="J35" s="81"/>
      <c r="K35" s="81"/>
      <c r="L35" s="81"/>
      <c r="M35" s="12"/>
      <c r="N35" s="12"/>
      <c r="O35" s="12"/>
      <c r="P35" s="12"/>
    </row>
    <row r="36" spans="1:16" ht="13.5" customHeight="1" x14ac:dyDescent="0.3">
      <c r="A36"/>
      <c r="B36" s="67"/>
      <c r="C36" s="95"/>
      <c r="D36" s="90"/>
      <c r="E36" s="12"/>
      <c r="F36" s="81"/>
      <c r="G36" s="81"/>
      <c r="H36" s="81"/>
      <c r="I36" s="81"/>
      <c r="J36" s="81"/>
      <c r="K36" s="81"/>
      <c r="L36" s="81"/>
      <c r="M36" s="12"/>
      <c r="N36" s="12"/>
      <c r="O36" s="12"/>
      <c r="P36" s="12"/>
    </row>
    <row r="37" spans="1:16" ht="13.5" customHeight="1" x14ac:dyDescent="0.3">
      <c r="A37"/>
      <c r="B37" s="67" t="s">
        <v>36</v>
      </c>
      <c r="C37" s="95">
        <v>66.540000000000006</v>
      </c>
      <c r="D37" s="90">
        <v>59.19</v>
      </c>
      <c r="E37" s="12"/>
      <c r="F37" s="81"/>
      <c r="G37" s="81"/>
      <c r="H37" s="81"/>
      <c r="I37" s="81"/>
      <c r="J37" s="81"/>
      <c r="K37" s="81"/>
      <c r="L37" s="81"/>
      <c r="M37" s="12"/>
      <c r="N37" s="12"/>
      <c r="O37" s="12"/>
      <c r="P37" s="12"/>
    </row>
    <row r="38" spans="1:16" ht="13.5" customHeight="1" x14ac:dyDescent="0.3">
      <c r="A38"/>
      <c r="B38" s="67"/>
      <c r="C38" s="95"/>
      <c r="D38" s="90"/>
      <c r="E38" s="12"/>
      <c r="F38" s="81"/>
      <c r="G38" s="81"/>
      <c r="H38" s="81"/>
      <c r="I38" s="81"/>
      <c r="J38" s="81"/>
      <c r="K38" s="81"/>
      <c r="L38" s="81"/>
      <c r="M38" s="12"/>
      <c r="N38" s="12"/>
      <c r="O38" s="12"/>
      <c r="P38" s="12"/>
    </row>
    <row r="39" spans="1:16" ht="13.5" customHeight="1" x14ac:dyDescent="0.3">
      <c r="A39"/>
      <c r="B39" s="54" t="s">
        <v>37</v>
      </c>
      <c r="C39" s="96">
        <v>41.51</v>
      </c>
      <c r="D39" s="91">
        <v>23.26</v>
      </c>
      <c r="E39" s="12"/>
      <c r="F39" s="81"/>
      <c r="G39" s="81"/>
      <c r="H39" s="81"/>
      <c r="I39" s="81"/>
      <c r="J39" s="81"/>
      <c r="K39" s="81"/>
      <c r="L39" s="81"/>
      <c r="M39" s="12"/>
      <c r="N39" s="12"/>
      <c r="O39" s="12"/>
      <c r="P39" s="12"/>
    </row>
    <row r="40" spans="1:16" ht="13.5" customHeight="1" x14ac:dyDescent="0.3">
      <c r="A40"/>
      <c r="B40" s="67" t="s">
        <v>70</v>
      </c>
      <c r="C40" s="95">
        <v>33.36</v>
      </c>
      <c r="D40" s="90">
        <v>19.559999999999999</v>
      </c>
      <c r="E40" s="12"/>
      <c r="F40" s="81"/>
      <c r="G40" s="52"/>
      <c r="H40" s="81"/>
      <c r="I40" s="81"/>
      <c r="J40" s="81"/>
      <c r="K40" s="81"/>
      <c r="L40" s="81"/>
      <c r="M40" s="12"/>
      <c r="N40" s="12"/>
      <c r="O40" s="12"/>
      <c r="P40" s="12"/>
    </row>
    <row r="41" spans="1:16" ht="13.5" customHeight="1" x14ac:dyDescent="0.3">
      <c r="A41"/>
      <c r="B41" s="67" t="s">
        <v>48</v>
      </c>
      <c r="C41" s="95">
        <v>28.99</v>
      </c>
      <c r="D41" s="90">
        <v>20.29</v>
      </c>
      <c r="E41" s="12"/>
      <c r="F41" s="81"/>
      <c r="G41" s="81"/>
      <c r="H41" s="81"/>
      <c r="I41" s="81"/>
      <c r="J41" s="81"/>
      <c r="K41" s="81"/>
      <c r="L41" s="81"/>
      <c r="M41" s="12"/>
      <c r="N41" s="12"/>
      <c r="O41" s="12"/>
      <c r="P41" s="12"/>
    </row>
    <row r="42" spans="1:16" ht="13.5" customHeight="1" x14ac:dyDescent="0.3">
      <c r="A42"/>
      <c r="B42" s="78" t="s">
        <v>89</v>
      </c>
      <c r="C42" s="98">
        <v>20.3</v>
      </c>
      <c r="D42" s="93">
        <v>13.41</v>
      </c>
      <c r="E42" s="12"/>
      <c r="F42" s="81"/>
      <c r="G42" s="81"/>
      <c r="H42" s="81"/>
      <c r="I42" s="81"/>
      <c r="J42" s="81"/>
      <c r="K42" s="81"/>
      <c r="L42" s="81"/>
      <c r="M42" s="12"/>
      <c r="N42" s="12"/>
      <c r="O42" s="12"/>
      <c r="P42" s="12"/>
    </row>
    <row r="43" spans="1:16" ht="13.5" customHeight="1" x14ac:dyDescent="0.3">
      <c r="B43"/>
    </row>
    <row r="44" spans="1:16" ht="13.5" customHeight="1" x14ac:dyDescent="0.25">
      <c r="B44" s="11"/>
      <c r="C44" s="6"/>
      <c r="D44" s="43"/>
    </row>
    <row r="45" spans="1:16" x14ac:dyDescent="0.25">
      <c r="B45" s="53" t="s">
        <v>69</v>
      </c>
      <c r="C45" s="12"/>
      <c r="D45" s="12"/>
      <c r="E45" s="12"/>
    </row>
    <row r="47" spans="1:16" x14ac:dyDescent="0.25">
      <c r="B47" s="67" t="s">
        <v>121</v>
      </c>
      <c r="C47" s="43"/>
    </row>
    <row r="48" spans="1:16" ht="14.4" x14ac:dyDescent="0.3">
      <c r="B48" s="3" t="s">
        <v>123</v>
      </c>
      <c r="C48" s="169" t="s">
        <v>127</v>
      </c>
    </row>
    <row r="49" spans="2:5" ht="14.4" customHeight="1" x14ac:dyDescent="0.25">
      <c r="B49" s="87"/>
      <c r="C49" s="87"/>
      <c r="D49" s="87"/>
      <c r="E49" s="87"/>
    </row>
    <row r="50" spans="2:5" ht="14.4" customHeight="1" x14ac:dyDescent="0.25">
      <c r="B50" s="87"/>
      <c r="C50" s="87"/>
      <c r="D50" s="87"/>
      <c r="E50" s="87"/>
    </row>
    <row r="51" spans="2:5" ht="14.4" customHeight="1" x14ac:dyDescent="0.25">
      <c r="B51" s="87"/>
      <c r="C51" s="87"/>
      <c r="D51" s="87"/>
      <c r="E51" s="87"/>
    </row>
    <row r="52" spans="2:5" ht="14.4" customHeight="1" x14ac:dyDescent="0.25">
      <c r="B52" s="87"/>
      <c r="C52" s="87"/>
      <c r="D52" s="87"/>
      <c r="E52" s="87"/>
    </row>
    <row r="53" spans="2:5" ht="14.4" customHeight="1" x14ac:dyDescent="0.25">
      <c r="B53" s="87"/>
      <c r="C53" s="87"/>
      <c r="D53" s="87"/>
      <c r="E53" s="87"/>
    </row>
    <row r="54" spans="2:5" ht="14.4" customHeight="1" x14ac:dyDescent="0.25">
      <c r="B54" s="87"/>
      <c r="C54" s="87"/>
      <c r="D54" s="87"/>
      <c r="E54" s="87"/>
    </row>
    <row r="55" spans="2:5" ht="14.4" customHeight="1" x14ac:dyDescent="0.25">
      <c r="B55" s="87"/>
      <c r="C55" s="87"/>
      <c r="D55" s="87"/>
      <c r="E55" s="87"/>
    </row>
    <row r="56" spans="2:5" ht="14.4" customHeight="1" x14ac:dyDescent="0.25">
      <c r="B56" s="87"/>
      <c r="C56" s="87"/>
      <c r="D56" s="87"/>
      <c r="E56" s="87"/>
    </row>
    <row r="57" spans="2:5" ht="14.4" customHeight="1" x14ac:dyDescent="0.25">
      <c r="B57" s="87"/>
      <c r="C57" s="87"/>
      <c r="D57" s="87"/>
      <c r="E57" s="87"/>
    </row>
    <row r="58" spans="2:5" ht="14.4" customHeight="1" x14ac:dyDescent="0.25">
      <c r="B58" s="87"/>
      <c r="C58" s="87"/>
      <c r="D58" s="87"/>
      <c r="E58" s="87"/>
    </row>
    <row r="59" spans="2:5" ht="14.4" customHeight="1" x14ac:dyDescent="0.25">
      <c r="B59" s="87"/>
      <c r="C59" s="87"/>
      <c r="D59" s="87"/>
      <c r="E59" s="87"/>
    </row>
    <row r="60" spans="2:5" ht="14.4" customHeight="1" x14ac:dyDescent="0.25">
      <c r="B60" s="87"/>
      <c r="C60" s="87"/>
      <c r="D60" s="87"/>
      <c r="E60" s="87"/>
    </row>
    <row r="61" spans="2:5" ht="14.4" customHeight="1" x14ac:dyDescent="0.25">
      <c r="B61" s="87"/>
      <c r="C61" s="87"/>
      <c r="D61" s="87"/>
      <c r="E61" s="87"/>
    </row>
    <row r="62" spans="2:5" ht="14.4" customHeight="1" x14ac:dyDescent="0.25">
      <c r="B62" s="87"/>
      <c r="C62" s="87"/>
      <c r="D62" s="87"/>
      <c r="E62" s="87"/>
    </row>
    <row r="63" spans="2:5" ht="14.4" customHeight="1" x14ac:dyDescent="0.25">
      <c r="B63" s="87"/>
      <c r="C63" s="87"/>
      <c r="D63" s="87"/>
      <c r="E63" s="87"/>
    </row>
    <row r="64" spans="2:5" ht="14.4" customHeight="1" x14ac:dyDescent="0.25">
      <c r="B64" s="87"/>
      <c r="C64" s="87"/>
      <c r="D64" s="87"/>
      <c r="E64" s="87"/>
    </row>
    <row r="65" spans="2:5" ht="14.4" customHeight="1" x14ac:dyDescent="0.25">
      <c r="B65" s="87"/>
      <c r="C65" s="87"/>
      <c r="D65" s="87"/>
      <c r="E65" s="87"/>
    </row>
    <row r="66" spans="2:5" ht="14.4" customHeight="1" x14ac:dyDescent="0.25">
      <c r="B66" s="87"/>
      <c r="C66" s="87"/>
      <c r="D66" s="87"/>
      <c r="E66" s="87"/>
    </row>
    <row r="67" spans="2:5" ht="14.4" customHeight="1" x14ac:dyDescent="0.25">
      <c r="B67" s="87"/>
      <c r="C67" s="87"/>
      <c r="D67" s="87"/>
      <c r="E67" s="87"/>
    </row>
    <row r="68" spans="2:5" ht="14.4" customHeight="1" x14ac:dyDescent="0.25">
      <c r="B68" s="87"/>
      <c r="C68" s="87"/>
      <c r="D68" s="87"/>
      <c r="E68" s="87"/>
    </row>
    <row r="69" spans="2:5" ht="14.4" customHeight="1" x14ac:dyDescent="0.25">
      <c r="B69" s="87"/>
      <c r="C69" s="87"/>
      <c r="D69" s="87"/>
      <c r="E69" s="87"/>
    </row>
    <row r="70" spans="2:5" ht="14.4" customHeight="1" x14ac:dyDescent="0.25">
      <c r="B70" s="87"/>
      <c r="C70" s="87"/>
      <c r="D70" s="87"/>
      <c r="E70" s="87"/>
    </row>
    <row r="71" spans="2:5" ht="14.4" customHeight="1" x14ac:dyDescent="0.25">
      <c r="B71" s="87"/>
      <c r="C71" s="87"/>
      <c r="D71" s="87"/>
      <c r="E71" s="87"/>
    </row>
    <row r="72" spans="2:5" ht="14.4" customHeight="1" x14ac:dyDescent="0.25">
      <c r="B72" s="87"/>
      <c r="C72" s="87"/>
      <c r="D72" s="87"/>
      <c r="E72" s="87"/>
    </row>
    <row r="73" spans="2:5" ht="14.4" customHeight="1" x14ac:dyDescent="0.25">
      <c r="B73" s="87"/>
      <c r="C73" s="87"/>
      <c r="D73" s="87"/>
      <c r="E73" s="87"/>
    </row>
    <row r="74" spans="2:5" ht="14.4" customHeight="1" x14ac:dyDescent="0.25">
      <c r="B74" s="87"/>
      <c r="C74" s="87"/>
      <c r="D74" s="87"/>
      <c r="E74" s="87"/>
    </row>
    <row r="75" spans="2:5" ht="14.4" customHeight="1" x14ac:dyDescent="0.25">
      <c r="B75" s="87"/>
      <c r="C75" s="87"/>
      <c r="D75" s="87"/>
      <c r="E75" s="87"/>
    </row>
    <row r="76" spans="2:5" ht="14.4" customHeight="1" x14ac:dyDescent="0.25">
      <c r="B76" s="87"/>
      <c r="C76" s="87"/>
      <c r="D76" s="87"/>
      <c r="E76" s="87"/>
    </row>
    <row r="77" spans="2:5" ht="14.4" customHeight="1" x14ac:dyDescent="0.25">
      <c r="B77" s="87"/>
      <c r="C77" s="87"/>
      <c r="D77" s="87"/>
      <c r="E77" s="87"/>
    </row>
    <row r="78" spans="2:5" ht="14.4" customHeight="1" x14ac:dyDescent="0.25">
      <c r="B78" s="87"/>
      <c r="C78" s="87"/>
      <c r="D78" s="87"/>
      <c r="E78" s="87"/>
    </row>
    <row r="79" spans="2:5" ht="14.4" customHeight="1" x14ac:dyDescent="0.25">
      <c r="B79" s="87"/>
      <c r="C79" s="87"/>
      <c r="D79" s="87"/>
      <c r="E79" s="87"/>
    </row>
    <row r="80" spans="2:5" x14ac:dyDescent="0.25">
      <c r="B80" s="21"/>
      <c r="C80" s="43"/>
      <c r="D80" s="43"/>
    </row>
    <row r="81" spans="2:4" x14ac:dyDescent="0.25">
      <c r="B81" s="21"/>
      <c r="C81" s="43"/>
      <c r="D81" s="43"/>
    </row>
    <row r="82" spans="2:4" x14ac:dyDescent="0.25">
      <c r="D82" s="43"/>
    </row>
    <row r="83" spans="2:4" x14ac:dyDescent="0.25">
      <c r="B83" s="4"/>
      <c r="C83" s="43"/>
      <c r="D83" s="43"/>
    </row>
    <row r="84" spans="2:4" x14ac:dyDescent="0.25">
      <c r="B84" s="55"/>
      <c r="C84" s="43"/>
      <c r="D84" s="43"/>
    </row>
    <row r="85" spans="2:4" x14ac:dyDescent="0.25">
      <c r="B85" s="11"/>
      <c r="C85" s="43"/>
      <c r="D85" s="43"/>
    </row>
    <row r="86" spans="2:4" x14ac:dyDescent="0.25">
      <c r="B86" s="11"/>
      <c r="C86" s="43"/>
      <c r="D86" s="43"/>
    </row>
    <row r="87" spans="2:4" x14ac:dyDescent="0.25">
      <c r="D87" s="43"/>
    </row>
    <row r="88" spans="2:4" x14ac:dyDescent="0.25">
      <c r="B88" s="11"/>
      <c r="C88" s="43"/>
      <c r="D88" s="43"/>
    </row>
    <row r="89" spans="2:4" x14ac:dyDescent="0.25">
      <c r="B89" s="20"/>
      <c r="C89" s="43"/>
      <c r="D89" s="43"/>
    </row>
  </sheetData>
  <sortState xmlns:xlrd2="http://schemas.microsoft.com/office/spreadsheetml/2017/richdata2" ref="B39:D42">
    <sortCondition descending="1" ref="C39:C42"/>
  </sortState>
  <hyperlinks>
    <hyperlink ref="C48" r:id="rId1" xr:uid="{9121BC64-2105-41E1-BBFB-1A32F35B3D9F}"/>
  </hyperlinks>
  <pageMargins left="0.23622047244094491" right="0.23622047244094491" top="0.74803149606299213" bottom="0.74803149606299213" header="0.31496062992125984" footer="0.31496062992125984"/>
  <pageSetup paperSize="9" scale="39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rgb="FF00B0F0"/>
    <pageSetUpPr fitToPage="1"/>
  </sheetPr>
  <dimension ref="A2:X26"/>
  <sheetViews>
    <sheetView topLeftCell="A5" zoomScaleNormal="100" workbookViewId="0">
      <selection activeCell="B20" sqref="B20:C21"/>
    </sheetView>
  </sheetViews>
  <sheetFormatPr defaultColWidth="9.109375" defaultRowHeight="13.2" x14ac:dyDescent="0.25"/>
  <cols>
    <col min="1" max="1" width="9.109375" style="3"/>
    <col min="2" max="2" width="26.77734375" style="3" customWidth="1"/>
    <col min="3" max="7" width="11.77734375" style="3" customWidth="1"/>
    <col min="8" max="8" width="11.77734375" style="56" customWidth="1"/>
    <col min="9" max="9" width="8.109375" style="57" customWidth="1"/>
    <col min="10" max="12" width="8.109375" style="56" customWidth="1"/>
    <col min="13" max="13" width="9.109375" style="3" customWidth="1"/>
    <col min="14" max="14" width="8.5546875" style="3" customWidth="1"/>
    <col min="15" max="15" width="9.44140625" style="3" customWidth="1"/>
    <col min="16" max="16" width="12.109375" style="3" customWidth="1"/>
    <col min="17" max="17" width="10" style="3" customWidth="1"/>
    <col min="18" max="19" width="14.33203125" style="3" customWidth="1"/>
    <col min="20" max="20" width="13.88671875" style="3" customWidth="1"/>
    <col min="21" max="21" width="8.109375" style="3" customWidth="1"/>
    <col min="22" max="22" width="8.6640625" style="3" customWidth="1"/>
    <col min="23" max="23" width="7.6640625" style="3" customWidth="1"/>
    <col min="24" max="27" width="9.109375" style="3"/>
    <col min="28" max="28" width="11" style="3" customWidth="1"/>
    <col min="29" max="16384" width="9.109375" style="3"/>
  </cols>
  <sheetData>
    <row r="2" spans="1:24" x14ac:dyDescent="0.25">
      <c r="B2" s="4" t="s">
        <v>108</v>
      </c>
    </row>
    <row r="3" spans="1:24" x14ac:dyDescent="0.25">
      <c r="B3" s="14" t="s">
        <v>103</v>
      </c>
    </row>
    <row r="4" spans="1:24" ht="12.75" customHeight="1" x14ac:dyDescent="0.25"/>
    <row r="5" spans="1:24" ht="79.8" customHeight="1" x14ac:dyDescent="0.25">
      <c r="B5" s="50"/>
      <c r="C5" s="51" t="s">
        <v>62</v>
      </c>
      <c r="D5" s="51" t="s">
        <v>63</v>
      </c>
      <c r="E5" s="51" t="s">
        <v>64</v>
      </c>
      <c r="F5" s="51" t="s">
        <v>84</v>
      </c>
      <c r="G5" s="51" t="s">
        <v>85</v>
      </c>
      <c r="H5" s="51" t="s">
        <v>86</v>
      </c>
    </row>
    <row r="6" spans="1:24" ht="26.4" x14ac:dyDescent="0.3">
      <c r="A6" s="88" t="s">
        <v>79</v>
      </c>
      <c r="B6" s="83" t="s">
        <v>95</v>
      </c>
      <c r="C6" s="102">
        <v>5.23</v>
      </c>
      <c r="D6" s="102">
        <v>5.16</v>
      </c>
      <c r="E6" s="102">
        <v>88.86</v>
      </c>
      <c r="F6" s="102">
        <v>10.55</v>
      </c>
      <c r="G6" s="102">
        <v>10.79</v>
      </c>
      <c r="H6" s="102">
        <v>77.53</v>
      </c>
      <c r="I6" s="57">
        <v>100</v>
      </c>
    </row>
    <row r="7" spans="1:24" ht="26.4" x14ac:dyDescent="0.3">
      <c r="A7" s="88" t="s">
        <v>78</v>
      </c>
      <c r="B7" s="83" t="s">
        <v>94</v>
      </c>
      <c r="C7" s="102">
        <v>8.7100000000000009</v>
      </c>
      <c r="D7" s="102">
        <v>9.3800000000000008</v>
      </c>
      <c r="E7" s="102">
        <v>81.03</v>
      </c>
      <c r="F7" s="102">
        <v>10.55</v>
      </c>
      <c r="G7" s="102">
        <v>10.79</v>
      </c>
      <c r="H7" s="102">
        <v>77.53</v>
      </c>
      <c r="I7" s="57">
        <v>90</v>
      </c>
    </row>
    <row r="8" spans="1:24" ht="14.4" x14ac:dyDescent="0.3">
      <c r="A8" s="89" t="s">
        <v>82</v>
      </c>
      <c r="B8" s="83" t="s">
        <v>93</v>
      </c>
      <c r="C8" s="102">
        <v>9.3000000000000007</v>
      </c>
      <c r="D8" s="102">
        <v>10.11</v>
      </c>
      <c r="E8" s="102">
        <v>79.3</v>
      </c>
      <c r="F8" s="102">
        <v>10.55</v>
      </c>
      <c r="G8" s="102">
        <v>10.79</v>
      </c>
      <c r="H8" s="102">
        <v>77.53</v>
      </c>
      <c r="I8" s="57">
        <v>80</v>
      </c>
    </row>
    <row r="9" spans="1:24" ht="39.6" x14ac:dyDescent="0.3">
      <c r="A9" s="88" t="s">
        <v>81</v>
      </c>
      <c r="B9" s="83" t="s">
        <v>2</v>
      </c>
      <c r="C9" s="102">
        <v>10.64</v>
      </c>
      <c r="D9" s="102">
        <v>9.26</v>
      </c>
      <c r="E9" s="102">
        <v>78.86</v>
      </c>
      <c r="F9" s="102">
        <v>10.55</v>
      </c>
      <c r="G9" s="102">
        <v>10.79</v>
      </c>
      <c r="H9" s="102">
        <v>77.53</v>
      </c>
      <c r="I9" s="57">
        <v>70</v>
      </c>
    </row>
    <row r="10" spans="1:24" ht="66" x14ac:dyDescent="0.3">
      <c r="A10" s="89" t="s">
        <v>74</v>
      </c>
      <c r="B10" s="83" t="s">
        <v>109</v>
      </c>
      <c r="C10" s="102">
        <v>11.65</v>
      </c>
      <c r="D10" s="102">
        <v>8.8800000000000008</v>
      </c>
      <c r="E10" s="102">
        <v>78.62</v>
      </c>
      <c r="F10" s="102">
        <v>10.55</v>
      </c>
      <c r="G10" s="102">
        <v>10.79</v>
      </c>
      <c r="H10" s="102">
        <v>77.53</v>
      </c>
      <c r="I10" s="57">
        <v>60</v>
      </c>
    </row>
    <row r="11" spans="1:24" ht="26.4" x14ac:dyDescent="0.3">
      <c r="A11" s="88" t="s">
        <v>80</v>
      </c>
      <c r="B11" s="83" t="s">
        <v>3</v>
      </c>
      <c r="C11" s="102">
        <v>8.8800000000000008</v>
      </c>
      <c r="D11" s="102">
        <v>13.04</v>
      </c>
      <c r="E11" s="102">
        <v>77.14</v>
      </c>
      <c r="F11" s="102">
        <v>10.55</v>
      </c>
      <c r="G11" s="102">
        <v>10.79</v>
      </c>
      <c r="H11" s="102">
        <v>77.53</v>
      </c>
      <c r="I11" s="57">
        <v>50</v>
      </c>
    </row>
    <row r="12" spans="1:24" ht="14.4" x14ac:dyDescent="0.3">
      <c r="A12" s="89" t="s">
        <v>76</v>
      </c>
      <c r="B12" s="83" t="s">
        <v>0</v>
      </c>
      <c r="C12" s="102">
        <v>12.12</v>
      </c>
      <c r="D12" s="102">
        <v>10.18</v>
      </c>
      <c r="E12" s="102">
        <v>76.8</v>
      </c>
      <c r="F12" s="102">
        <v>10.55</v>
      </c>
      <c r="G12" s="102">
        <v>10.79</v>
      </c>
      <c r="H12" s="102">
        <v>77.53</v>
      </c>
      <c r="I12" s="57">
        <v>40</v>
      </c>
    </row>
    <row r="13" spans="1:24" ht="12.75" customHeight="1" x14ac:dyDescent="0.3">
      <c r="A13" s="88" t="s">
        <v>77</v>
      </c>
      <c r="B13" s="83" t="s">
        <v>110</v>
      </c>
      <c r="C13" s="102">
        <v>11.48</v>
      </c>
      <c r="D13" s="102">
        <v>12.55</v>
      </c>
      <c r="E13" s="102">
        <v>75.19</v>
      </c>
      <c r="F13" s="102">
        <v>10.55</v>
      </c>
      <c r="G13" s="102">
        <v>10.79</v>
      </c>
      <c r="H13" s="102">
        <v>77.53</v>
      </c>
      <c r="I13" s="57">
        <v>30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spans="1:24" ht="14.4" x14ac:dyDescent="0.3">
      <c r="A14" s="89" t="s">
        <v>75</v>
      </c>
      <c r="B14" s="84" t="s">
        <v>1</v>
      </c>
      <c r="C14" s="103">
        <v>11.36</v>
      </c>
      <c r="D14" s="103">
        <v>13.15</v>
      </c>
      <c r="E14" s="103">
        <v>74.099999999999994</v>
      </c>
      <c r="F14" s="103">
        <v>10.55</v>
      </c>
      <c r="G14" s="103">
        <v>10.79</v>
      </c>
      <c r="H14" s="103">
        <v>77.53</v>
      </c>
      <c r="I14" s="57">
        <v>20</v>
      </c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ht="26.4" x14ac:dyDescent="0.3">
      <c r="A15" s="88" t="s">
        <v>83</v>
      </c>
      <c r="B15" s="85" t="s">
        <v>111</v>
      </c>
      <c r="C15" s="104">
        <v>12.66</v>
      </c>
      <c r="D15" s="104">
        <v>16.12</v>
      </c>
      <c r="E15" s="104">
        <v>69.13</v>
      </c>
      <c r="F15" s="104">
        <v>10.55</v>
      </c>
      <c r="G15" s="104">
        <v>10.79</v>
      </c>
      <c r="H15" s="104">
        <v>77.53</v>
      </c>
      <c r="I15" s="57">
        <v>10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spans="1:24" ht="12.75" customHeight="1" x14ac:dyDescent="0.25">
      <c r="B16" s="1"/>
      <c r="C16" s="43"/>
      <c r="D16" s="43"/>
      <c r="F16" s="29">
        <v>10.55</v>
      </c>
      <c r="G16" s="29">
        <v>10.79</v>
      </c>
      <c r="H16" s="57">
        <v>77.53</v>
      </c>
      <c r="I16" s="57">
        <v>0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24" ht="12.75" customHeight="1" x14ac:dyDescent="0.25">
      <c r="B17" s="1"/>
      <c r="C17" s="43"/>
      <c r="D17" s="43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24" ht="12.75" customHeight="1" x14ac:dyDescent="0.25">
      <c r="B18" s="25" t="s">
        <v>88</v>
      </c>
      <c r="C18" s="43"/>
      <c r="D18" s="43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spans="1:24" ht="12.75" customHeight="1" x14ac:dyDescent="0.25">
      <c r="A19" s="12"/>
      <c r="B19" s="14"/>
      <c r="C19" s="60"/>
      <c r="D19" s="60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24" ht="12.75" customHeight="1" x14ac:dyDescent="0.25">
      <c r="A20" s="12"/>
      <c r="B20" s="67" t="s">
        <v>121</v>
      </c>
      <c r="C20" s="12"/>
      <c r="D20" s="60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4" ht="12.75" customHeight="1" x14ac:dyDescent="0.3">
      <c r="A21" s="12"/>
      <c r="B21" s="12" t="s">
        <v>129</v>
      </c>
      <c r="C21" s="170" t="s">
        <v>130</v>
      </c>
      <c r="D21" s="12"/>
      <c r="J21" s="61"/>
      <c r="K21" s="61"/>
      <c r="L21" s="61"/>
      <c r="M21" s="62"/>
      <c r="N21" s="62"/>
      <c r="O21" s="62"/>
      <c r="P21" s="62"/>
      <c r="Q21" s="62"/>
      <c r="R21" s="62"/>
      <c r="S21" s="62"/>
      <c r="T21" s="62"/>
      <c r="U21" s="59"/>
      <c r="V21" s="59"/>
      <c r="W21" s="59"/>
      <c r="X21" s="59"/>
    </row>
    <row r="22" spans="1:24" ht="12.75" customHeight="1" x14ac:dyDescent="0.25">
      <c r="A22" s="12"/>
      <c r="B22" s="12"/>
      <c r="C22" s="12"/>
      <c r="D22" s="12"/>
      <c r="J22" s="61"/>
      <c r="K22" s="61"/>
      <c r="L22" s="61"/>
      <c r="M22" s="62"/>
      <c r="N22" s="62"/>
      <c r="O22" s="62"/>
      <c r="P22" s="62"/>
      <c r="Q22" s="62"/>
      <c r="R22" s="62"/>
      <c r="S22" s="62"/>
      <c r="T22" s="62"/>
      <c r="U22" s="59"/>
      <c r="V22" s="59"/>
      <c r="W22" s="59"/>
      <c r="X22" s="59"/>
    </row>
    <row r="23" spans="1:24" ht="12.75" customHeight="1" x14ac:dyDescent="0.25">
      <c r="A23" s="12"/>
      <c r="C23" s="12"/>
      <c r="D23" s="12"/>
      <c r="J23" s="61"/>
      <c r="K23" s="61"/>
      <c r="L23" s="61"/>
      <c r="M23" s="12"/>
      <c r="N23" s="62"/>
      <c r="O23" s="62"/>
      <c r="P23" s="62"/>
      <c r="Q23" s="62"/>
      <c r="R23" s="62"/>
      <c r="S23" s="62"/>
      <c r="T23" s="62"/>
      <c r="U23" s="59"/>
      <c r="V23" s="59"/>
      <c r="W23" s="59"/>
      <c r="X23" s="59"/>
    </row>
    <row r="24" spans="1:24" ht="12.75" customHeight="1" x14ac:dyDescent="0.25">
      <c r="A24" s="12"/>
      <c r="B24" s="12"/>
      <c r="C24" s="12"/>
      <c r="D24" s="12"/>
      <c r="J24" s="61"/>
      <c r="K24" s="61"/>
      <c r="L24" s="61"/>
      <c r="M24" s="62"/>
      <c r="N24" s="62"/>
      <c r="O24" s="62"/>
      <c r="P24" s="62"/>
      <c r="Q24" s="62"/>
      <c r="R24" s="62"/>
      <c r="S24" s="62"/>
      <c r="T24" s="62"/>
      <c r="U24" s="59"/>
      <c r="V24" s="59"/>
      <c r="W24" s="59"/>
      <c r="X24" s="59"/>
    </row>
    <row r="25" spans="1:24" ht="12.75" customHeight="1" x14ac:dyDescent="0.25">
      <c r="A25" s="12"/>
      <c r="B25" s="12"/>
      <c r="C25" s="12"/>
      <c r="D25" s="12"/>
      <c r="J25" s="61"/>
      <c r="K25" s="61"/>
      <c r="L25" s="61"/>
      <c r="M25" s="62"/>
      <c r="N25" s="62"/>
      <c r="O25" s="62"/>
      <c r="P25" s="62"/>
      <c r="Q25" s="62"/>
      <c r="R25" s="62"/>
      <c r="S25" s="62"/>
      <c r="T25" s="62"/>
      <c r="U25" s="59"/>
      <c r="V25" s="59"/>
      <c r="W25" s="59"/>
      <c r="X25" s="59"/>
    </row>
    <row r="26" spans="1:24" ht="12.75" customHeight="1" x14ac:dyDescent="0.25">
      <c r="A26" s="12"/>
      <c r="B26" s="12"/>
      <c r="C26" s="14"/>
      <c r="D26" s="12"/>
      <c r="J26" s="61"/>
      <c r="K26" s="61"/>
      <c r="L26" s="61"/>
      <c r="M26" s="12"/>
      <c r="N26" s="12"/>
      <c r="O26" s="12"/>
      <c r="P26" s="12"/>
      <c r="Q26" s="12"/>
      <c r="R26" s="12"/>
      <c r="S26" s="12"/>
      <c r="T26" s="12"/>
    </row>
  </sheetData>
  <sortState xmlns:xlrd2="http://schemas.microsoft.com/office/spreadsheetml/2017/richdata2" ref="A6:H15">
    <sortCondition descending="1" ref="E6:E15"/>
  </sortState>
  <hyperlinks>
    <hyperlink ref="C21" r:id="rId1" xr:uid="{F317A788-0AEC-4B41-8F1A-498B12ABC3DE}"/>
  </hyperlinks>
  <pageMargins left="0.25" right="0.25" top="0.75" bottom="0.75" header="0.3" footer="0.3"/>
  <pageSetup paperSize="9" scale="50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B2:X31"/>
  <sheetViews>
    <sheetView zoomScaleNormal="100" workbookViewId="0">
      <selection activeCell="D23" sqref="D23"/>
    </sheetView>
  </sheetViews>
  <sheetFormatPr defaultColWidth="9.109375" defaultRowHeight="13.2" x14ac:dyDescent="0.25"/>
  <cols>
    <col min="1" max="1" width="9.109375" style="3"/>
    <col min="2" max="2" width="26.77734375" style="3" customWidth="1"/>
    <col min="3" max="5" width="15.77734375" style="3" customWidth="1"/>
    <col min="6" max="7" width="9.109375" style="3" customWidth="1"/>
    <col min="8" max="12" width="9.109375" style="56" customWidth="1"/>
    <col min="13" max="17" width="9.109375" style="3" customWidth="1"/>
    <col min="18" max="19" width="14.33203125" style="3" customWidth="1"/>
    <col min="20" max="20" width="13.88671875" style="3" customWidth="1"/>
    <col min="21" max="21" width="8.109375" style="3" customWidth="1"/>
    <col min="22" max="22" width="8.6640625" style="3" customWidth="1"/>
    <col min="23" max="23" width="7.6640625" style="3" customWidth="1"/>
    <col min="24" max="27" width="9.109375" style="3"/>
    <col min="28" max="28" width="11" style="3" customWidth="1"/>
    <col min="29" max="16384" width="9.109375" style="3"/>
  </cols>
  <sheetData>
    <row r="2" spans="2:24" x14ac:dyDescent="0.25">
      <c r="B2" s="4" t="s">
        <v>102</v>
      </c>
    </row>
    <row r="3" spans="2:24" x14ac:dyDescent="0.25">
      <c r="B3" s="14" t="s">
        <v>103</v>
      </c>
    </row>
    <row r="4" spans="2:24" ht="12.75" customHeight="1" x14ac:dyDescent="0.25"/>
    <row r="5" spans="2:24" s="56" customFormat="1" ht="26.4" x14ac:dyDescent="0.25">
      <c r="B5" s="7"/>
      <c r="C5" s="46" t="s">
        <v>62</v>
      </c>
      <c r="D5" s="46" t="s">
        <v>63</v>
      </c>
      <c r="E5" s="46" t="s">
        <v>64</v>
      </c>
      <c r="F5" s="3"/>
      <c r="G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2:24" s="56" customFormat="1" x14ac:dyDescent="0.25">
      <c r="B6" s="47"/>
      <c r="C6" s="48" t="s">
        <v>60</v>
      </c>
      <c r="D6" s="48" t="s">
        <v>61</v>
      </c>
      <c r="E6" s="48" t="s">
        <v>58</v>
      </c>
      <c r="F6" s="3"/>
      <c r="G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s="56" customFormat="1" ht="12.75" customHeight="1" x14ac:dyDescent="0.25">
      <c r="B7" s="49" t="s">
        <v>50</v>
      </c>
      <c r="C7" s="101">
        <v>10.55</v>
      </c>
      <c r="D7" s="101">
        <v>10.79</v>
      </c>
      <c r="E7" s="101">
        <v>77.53</v>
      </c>
      <c r="F7" s="3"/>
      <c r="G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2:24" s="56" customFormat="1" ht="12.75" customHeight="1" x14ac:dyDescent="0.25">
      <c r="B8" s="66" t="s">
        <v>71</v>
      </c>
      <c r="C8" s="90">
        <v>10.98</v>
      </c>
      <c r="D8" s="90">
        <v>11.72</v>
      </c>
      <c r="E8" s="90">
        <v>76.08</v>
      </c>
      <c r="F8" s="3"/>
      <c r="G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s="56" customFormat="1" x14ac:dyDescent="0.25">
      <c r="B9" s="67" t="s">
        <v>72</v>
      </c>
      <c r="C9" s="90">
        <v>9.59</v>
      </c>
      <c r="D9" s="90">
        <v>8.2799999999999994</v>
      </c>
      <c r="E9" s="90">
        <v>81.27</v>
      </c>
      <c r="F9" s="3"/>
      <c r="G9" s="63"/>
      <c r="H9" s="63"/>
      <c r="I9" s="63"/>
      <c r="J9" s="6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s="56" customFormat="1" ht="12.75" customHeight="1" x14ac:dyDescent="0.25">
      <c r="B10" s="68" t="s">
        <v>73</v>
      </c>
      <c r="C10" s="93">
        <v>6.83</v>
      </c>
      <c r="D10" s="93">
        <v>4.67</v>
      </c>
      <c r="E10" s="93">
        <v>87.79</v>
      </c>
      <c r="F10" s="3"/>
      <c r="G10" s="43"/>
      <c r="H10" s="43"/>
      <c r="I10" s="64"/>
      <c r="J10" s="6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s="56" customFormat="1" ht="12.75" customHeight="1" x14ac:dyDescent="0.25">
      <c r="B11" s="1"/>
      <c r="C11" s="43"/>
      <c r="D11" s="43"/>
      <c r="E11" s="3"/>
      <c r="F11" s="3"/>
      <c r="G11" s="43"/>
      <c r="H11" s="43"/>
      <c r="I11" s="64"/>
      <c r="J11" s="6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s="56" customFormat="1" ht="12.75" customHeight="1" x14ac:dyDescent="0.25">
      <c r="B12" s="25" t="s">
        <v>69</v>
      </c>
      <c r="C12" s="43"/>
      <c r="D12" s="43"/>
      <c r="E12" s="3"/>
      <c r="F12" s="3"/>
      <c r="G12" s="43"/>
      <c r="H12" s="43"/>
      <c r="I12" s="64"/>
      <c r="J12" s="6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s="56" customFormat="1" ht="12.75" customHeight="1" x14ac:dyDescent="0.25">
      <c r="B13" s="1"/>
      <c r="C13" s="43"/>
      <c r="D13" s="43"/>
      <c r="E13" s="3"/>
      <c r="F13" s="3"/>
      <c r="G13" s="43"/>
      <c r="H13" s="43"/>
      <c r="I13" s="64"/>
      <c r="J13" s="6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 s="56" customFormat="1" ht="12.75" customHeight="1" x14ac:dyDescent="0.25">
      <c r="B14" s="3"/>
      <c r="C14" s="3"/>
      <c r="D14" s="43"/>
      <c r="E14" s="3"/>
      <c r="F14" s="3"/>
      <c r="G14" s="43"/>
      <c r="H14" s="43"/>
      <c r="I14" s="64"/>
      <c r="J14" s="64"/>
      <c r="L14" s="61"/>
      <c r="M14" s="12"/>
      <c r="N14" s="12"/>
      <c r="O14" s="12"/>
      <c r="P14" s="12"/>
      <c r="Q14" s="12"/>
      <c r="R14" s="12"/>
      <c r="S14" s="3"/>
      <c r="T14" s="3"/>
      <c r="U14" s="3"/>
      <c r="V14" s="3"/>
      <c r="W14" s="3"/>
      <c r="X14" s="3"/>
    </row>
    <row r="15" spans="2:24" s="56" customFormat="1" ht="12.75" customHeight="1" x14ac:dyDescent="0.25">
      <c r="B15" s="67" t="s">
        <v>121</v>
      </c>
      <c r="C15" s="14"/>
      <c r="D15" s="43"/>
      <c r="E15" s="3"/>
      <c r="F15" s="3"/>
      <c r="G15" s="43"/>
      <c r="H15" s="43"/>
      <c r="I15" s="64"/>
      <c r="J15" s="64"/>
      <c r="L15" s="61"/>
      <c r="M15" s="12"/>
      <c r="N15" s="12"/>
      <c r="O15" s="12"/>
      <c r="P15" s="12"/>
      <c r="Q15" s="12"/>
      <c r="R15" s="12"/>
      <c r="S15" s="3"/>
      <c r="T15" s="3"/>
      <c r="U15" s="3"/>
      <c r="V15" s="3"/>
      <c r="W15" s="3"/>
      <c r="X15" s="3"/>
    </row>
    <row r="16" spans="2:24" s="56" customFormat="1" ht="12.75" customHeight="1" x14ac:dyDescent="0.3">
      <c r="B16" s="3" t="s">
        <v>123</v>
      </c>
      <c r="C16" s="170" t="s">
        <v>128</v>
      </c>
      <c r="D16" s="43"/>
      <c r="E16" s="3"/>
      <c r="F16" s="3"/>
      <c r="G16" s="43"/>
      <c r="H16" s="43"/>
      <c r="I16" s="64"/>
      <c r="J16" s="64"/>
      <c r="L16" s="61"/>
      <c r="M16" s="12"/>
      <c r="N16" s="12"/>
      <c r="O16" s="12"/>
      <c r="P16" s="12"/>
      <c r="Q16" s="12"/>
      <c r="R16" s="12"/>
      <c r="S16" s="3"/>
      <c r="T16" s="3"/>
      <c r="U16" s="3"/>
      <c r="V16" s="3"/>
      <c r="W16" s="3"/>
      <c r="X16" s="3"/>
    </row>
    <row r="17" spans="2:24" ht="12.75" customHeight="1" x14ac:dyDescent="0.25">
      <c r="B17" s="14"/>
      <c r="C17" s="60"/>
      <c r="D17" s="43"/>
      <c r="G17" s="43"/>
      <c r="H17" s="43"/>
      <c r="I17" s="64"/>
      <c r="J17" s="64"/>
      <c r="L17" s="61"/>
      <c r="M17" s="12"/>
      <c r="N17" s="12"/>
      <c r="O17" s="12"/>
      <c r="P17" s="12"/>
      <c r="Q17" s="12"/>
      <c r="R17" s="12"/>
    </row>
    <row r="18" spans="2:24" ht="12.75" customHeight="1" x14ac:dyDescent="0.25">
      <c r="B18" s="14"/>
      <c r="C18" s="60"/>
      <c r="D18" s="43"/>
      <c r="G18" s="43"/>
      <c r="H18" s="43"/>
      <c r="I18" s="64"/>
      <c r="J18" s="64"/>
      <c r="L18" s="61"/>
      <c r="M18" s="62"/>
      <c r="N18" s="62"/>
      <c r="O18" s="62"/>
      <c r="P18" s="62"/>
      <c r="Q18" s="62"/>
      <c r="R18" s="62"/>
      <c r="S18" s="59"/>
      <c r="T18" s="59"/>
      <c r="U18" s="59"/>
      <c r="V18" s="59"/>
      <c r="W18" s="59"/>
      <c r="X18" s="59"/>
    </row>
    <row r="19" spans="2:24" ht="12.75" customHeight="1" x14ac:dyDescent="0.25">
      <c r="B19" s="1"/>
      <c r="C19" s="43"/>
      <c r="D19" s="43"/>
      <c r="G19" s="43"/>
      <c r="H19" s="43"/>
      <c r="I19" s="64"/>
      <c r="J19" s="64"/>
      <c r="L19" s="61"/>
      <c r="M19" s="62"/>
      <c r="N19" s="62"/>
      <c r="O19" s="62"/>
      <c r="P19" s="62"/>
      <c r="Q19" s="62"/>
      <c r="R19" s="62"/>
      <c r="S19" s="59"/>
      <c r="T19" s="59"/>
      <c r="U19" s="59"/>
      <c r="V19" s="59"/>
      <c r="W19" s="59"/>
      <c r="X19" s="59"/>
    </row>
    <row r="20" spans="2:24" ht="12.75" customHeight="1" x14ac:dyDescent="0.25">
      <c r="B20" s="1"/>
      <c r="C20" s="43"/>
      <c r="D20" s="43"/>
      <c r="G20" s="43"/>
      <c r="H20" s="43"/>
      <c r="I20" s="64"/>
      <c r="J20" s="64"/>
      <c r="L20" s="61"/>
      <c r="M20" s="62"/>
      <c r="N20" s="62"/>
      <c r="O20" s="62"/>
      <c r="P20" s="62"/>
      <c r="Q20" s="62"/>
      <c r="R20" s="62"/>
      <c r="S20" s="59"/>
      <c r="T20" s="59"/>
      <c r="U20" s="59"/>
      <c r="V20" s="59"/>
      <c r="W20" s="59"/>
      <c r="X20" s="59"/>
    </row>
    <row r="21" spans="2:24" ht="12.75" customHeight="1" x14ac:dyDescent="0.25">
      <c r="L21" s="61"/>
      <c r="M21" s="62"/>
      <c r="N21" s="62"/>
      <c r="O21" s="62"/>
      <c r="P21" s="62"/>
      <c r="Q21" s="62"/>
      <c r="R21" s="62"/>
      <c r="S21" s="59"/>
      <c r="T21" s="59"/>
      <c r="U21" s="59"/>
      <c r="V21" s="59"/>
      <c r="W21" s="59"/>
      <c r="X21" s="59"/>
    </row>
    <row r="22" spans="2:24" ht="12.75" customHeight="1" x14ac:dyDescent="0.25">
      <c r="C22" s="65"/>
      <c r="D22" s="65"/>
      <c r="E22" s="65"/>
      <c r="L22" s="61"/>
      <c r="M22" s="62"/>
      <c r="N22" s="62"/>
      <c r="O22" s="62"/>
      <c r="P22" s="62"/>
      <c r="Q22" s="62"/>
      <c r="R22" s="62"/>
      <c r="S22" s="59"/>
      <c r="T22" s="59"/>
      <c r="U22" s="59"/>
      <c r="V22" s="59"/>
      <c r="W22" s="59"/>
      <c r="X22" s="59"/>
    </row>
    <row r="23" spans="2:24" ht="12.75" customHeight="1" x14ac:dyDescent="0.25">
      <c r="B23" s="65"/>
      <c r="C23" s="58"/>
      <c r="D23" s="58"/>
      <c r="E23" s="58"/>
      <c r="K23" s="61"/>
      <c r="L23" s="61"/>
      <c r="M23" s="62"/>
      <c r="N23" s="62"/>
      <c r="O23" s="62"/>
      <c r="P23" s="62"/>
      <c r="Q23" s="62"/>
      <c r="R23" s="62"/>
      <c r="S23" s="59"/>
      <c r="T23" s="59"/>
      <c r="U23" s="59"/>
      <c r="V23" s="59"/>
      <c r="W23" s="59"/>
      <c r="X23" s="59"/>
    </row>
    <row r="24" spans="2:24" ht="12.75" customHeight="1" x14ac:dyDescent="0.25">
      <c r="B24" s="65"/>
      <c r="C24" s="58"/>
      <c r="D24" s="58"/>
      <c r="E24" s="58"/>
      <c r="K24" s="61"/>
      <c r="L24" s="61"/>
      <c r="M24" s="62"/>
      <c r="N24" s="62"/>
      <c r="O24" s="62"/>
      <c r="P24" s="62"/>
      <c r="Q24" s="62"/>
      <c r="R24" s="62"/>
      <c r="S24" s="59"/>
      <c r="T24" s="59"/>
      <c r="U24" s="59"/>
      <c r="V24" s="59"/>
      <c r="W24" s="59"/>
      <c r="X24" s="59"/>
    </row>
    <row r="25" spans="2:24" ht="12.75" customHeight="1" x14ac:dyDescent="0.25">
      <c r="B25" s="65"/>
      <c r="C25" s="58"/>
      <c r="D25" s="58"/>
      <c r="E25" s="58"/>
      <c r="K25" s="61"/>
      <c r="L25" s="61"/>
      <c r="M25" s="62"/>
      <c r="N25" s="62"/>
      <c r="O25" s="62"/>
      <c r="P25" s="62"/>
      <c r="Q25" s="62"/>
      <c r="R25" s="62"/>
      <c r="S25" s="59"/>
      <c r="T25" s="59"/>
      <c r="U25" s="59"/>
      <c r="V25" s="59"/>
      <c r="W25" s="59"/>
      <c r="X25" s="59"/>
    </row>
    <row r="26" spans="2:24" ht="12.75" customHeight="1" x14ac:dyDescent="0.25">
      <c r="B26" s="65"/>
      <c r="C26" s="58"/>
      <c r="D26" s="58"/>
      <c r="E26" s="58"/>
      <c r="K26" s="61"/>
      <c r="L26" s="61"/>
      <c r="M26" s="62"/>
      <c r="N26" s="62"/>
      <c r="O26" s="62"/>
      <c r="P26" s="62"/>
      <c r="Q26" s="62"/>
      <c r="R26" s="62"/>
      <c r="S26" s="59"/>
      <c r="T26" s="59"/>
      <c r="U26" s="59"/>
      <c r="V26" s="59"/>
      <c r="W26" s="59"/>
      <c r="X26" s="59"/>
    </row>
    <row r="27" spans="2:24" ht="12.75" customHeight="1" x14ac:dyDescent="0.25">
      <c r="K27" s="61"/>
      <c r="L27" s="61"/>
      <c r="M27" s="62"/>
      <c r="N27" s="62"/>
      <c r="O27" s="62"/>
      <c r="P27" s="62"/>
      <c r="Q27" s="62"/>
      <c r="R27" s="62"/>
      <c r="S27" s="59"/>
      <c r="T27" s="59"/>
      <c r="U27" s="59"/>
      <c r="V27" s="59"/>
      <c r="W27" s="59"/>
      <c r="X27" s="59"/>
    </row>
    <row r="28" spans="2:24" ht="12.75" customHeight="1" x14ac:dyDescent="0.25">
      <c r="K28" s="61"/>
      <c r="L28" s="61"/>
      <c r="M28" s="12"/>
      <c r="N28" s="62"/>
      <c r="O28" s="62"/>
      <c r="P28" s="62"/>
      <c r="Q28" s="62"/>
      <c r="R28" s="62"/>
      <c r="S28" s="59"/>
      <c r="T28" s="59"/>
      <c r="U28" s="59"/>
      <c r="V28" s="59"/>
      <c r="W28" s="59"/>
      <c r="X28" s="59"/>
    </row>
    <row r="29" spans="2:24" ht="12.75" customHeight="1" x14ac:dyDescent="0.25">
      <c r="L29" s="61"/>
      <c r="M29" s="62"/>
      <c r="N29" s="62"/>
      <c r="O29" s="62"/>
      <c r="P29" s="62"/>
      <c r="Q29" s="62"/>
      <c r="R29" s="62"/>
      <c r="S29" s="59"/>
      <c r="T29" s="59"/>
      <c r="U29" s="59"/>
      <c r="V29" s="59"/>
      <c r="W29" s="59"/>
      <c r="X29" s="59"/>
    </row>
    <row r="30" spans="2:24" ht="12.75" customHeight="1" x14ac:dyDescent="0.25">
      <c r="L30" s="61"/>
      <c r="M30" s="62"/>
      <c r="N30" s="62"/>
      <c r="O30" s="62"/>
      <c r="P30" s="62"/>
      <c r="Q30" s="62"/>
      <c r="R30" s="62"/>
      <c r="S30" s="59"/>
      <c r="T30" s="59"/>
      <c r="U30" s="59"/>
      <c r="V30" s="59"/>
      <c r="W30" s="59"/>
      <c r="X30" s="59"/>
    </row>
    <row r="31" spans="2:24" ht="12.75" customHeight="1" x14ac:dyDescent="0.25">
      <c r="L31" s="61"/>
      <c r="M31" s="12"/>
      <c r="N31" s="12"/>
      <c r="O31" s="12"/>
      <c r="P31" s="12"/>
      <c r="Q31" s="12"/>
      <c r="R31" s="12"/>
    </row>
  </sheetData>
  <hyperlinks>
    <hyperlink ref="C16" r:id="rId1" xr:uid="{DB08A676-AE94-4D70-8718-7FFF1AB0541B}"/>
  </hyperlinks>
  <pageMargins left="0.25" right="0.25" top="0.75" bottom="0.75" header="0.3" footer="0.3"/>
  <pageSetup paperSize="9" scale="61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Fig1</vt:lpstr>
      <vt:lpstr>Tab1</vt:lpstr>
      <vt:lpstr>Fig2</vt:lpstr>
      <vt:lpstr>Fig3</vt:lpstr>
      <vt:lpstr>Fig4</vt:lpstr>
      <vt:lpstr>Fig5</vt:lpstr>
      <vt:lpstr>Fig6</vt:lpstr>
      <vt:lpstr>Fig7</vt:lpstr>
      <vt:lpstr>Fig8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SMIHILY Maria (ESTAT)</dc:creator>
  <cp:lastModifiedBy>DIMOV Dimo (ESTAT)</cp:lastModifiedBy>
  <cp:lastPrinted>2017-01-11T14:14:27Z</cp:lastPrinted>
  <dcterms:created xsi:type="dcterms:W3CDTF">2014-10-17T13:58:47Z</dcterms:created>
  <dcterms:modified xsi:type="dcterms:W3CDTF">2026-01-13T14:54:44Z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2023-11-29T13:35:41Z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51fa1e1a-e51d-4048-8816-cc16d5390d2a</vt:lpwstr>
  </property>
  <property fmtid="{D5CDD505-2E9C-101B-9397-08002B2CF9AE}" pid="8" name="MSIP_Label_6bd9ddd1-4d20-43f6-abfa-fc3c07406f94_ContentBits">
    <vt:lpwstr>0</vt:lpwstr>
  </property>
</Properties>
</file>